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 codeName="{00CF4601-37BD-836D-55AB-7E336CB4BC7A}"/>
  <workbookPr showInkAnnotation="0" codeName="DieseArbeitsmappe"/>
  <mc:AlternateContent xmlns:mc="http://schemas.openxmlformats.org/markup-compatibility/2006">
    <mc:Choice Requires="x15">
      <x15ac:absPath xmlns:x15ac="http://schemas.microsoft.com/office/spreadsheetml/2010/11/ac" url="D:\GitHub\gewiss\"/>
    </mc:Choice>
  </mc:AlternateContent>
  <bookViews>
    <workbookView xWindow="0" yWindow="0" windowWidth="24600" windowHeight="9735" tabRatio="728" xr2:uid="{00000000-000D-0000-FFFF-FFFF00000000}"/>
  </bookViews>
  <sheets>
    <sheet name="Aufnahmebogen" sheetId="1" r:id="rId1"/>
    <sheet name="Auswahlmöglichkeiten" sheetId="2" r:id="rId2"/>
    <sheet name="Auswertung" sheetId="3" r:id="rId3"/>
    <sheet name="Anmerkungen" sheetId="4" r:id="rId4"/>
  </sheets>
  <definedNames>
    <definedName name="_xlnm.Print_Area" localSheetId="0">Aufnahmebogen!$B$2:$O$260</definedName>
    <definedName name="_xlnm.Print_Area" localSheetId="1">Auswahlmöglichkeiten!$A$1:$AZ$125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Z2" i="4" l="1"/>
  <c r="BY2" i="4"/>
  <c r="BX2" i="4"/>
  <c r="BW2" i="4"/>
  <c r="BV2" i="4"/>
  <c r="BU2" i="4"/>
  <c r="BT2" i="4"/>
  <c r="BS2" i="4"/>
  <c r="BR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AR2" i="4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B2" i="4"/>
  <c r="A2" i="4"/>
  <c r="G98" i="1" l="1"/>
  <c r="K94" i="1" l="1"/>
  <c r="FY2" i="3" l="1"/>
  <c r="FX2" i="3"/>
  <c r="FW2" i="3"/>
  <c r="FV2" i="3"/>
  <c r="FU2" i="3"/>
  <c r="FT2" i="3"/>
  <c r="FS2" i="3"/>
  <c r="FR2" i="3"/>
  <c r="FQ2" i="3"/>
  <c r="FP2" i="3"/>
  <c r="FO2" i="3"/>
  <c r="FN2" i="3"/>
  <c r="FM2" i="3"/>
  <c r="FL2" i="3"/>
  <c r="FK2" i="3"/>
  <c r="FJ2" i="3"/>
  <c r="FI2" i="3"/>
  <c r="FH2" i="3"/>
  <c r="FG2" i="3"/>
  <c r="FF2" i="3"/>
  <c r="FE2" i="3"/>
  <c r="FD2" i="3"/>
  <c r="FC2" i="3"/>
  <c r="FB2" i="3"/>
  <c r="FA2" i="3"/>
  <c r="EZ2" i="3"/>
  <c r="EY2" i="3"/>
  <c r="EX2" i="3"/>
  <c r="EW2" i="3"/>
  <c r="EV2" i="3"/>
  <c r="EU2" i="3"/>
  <c r="ET2" i="3"/>
  <c r="ES2" i="3"/>
  <c r="ER2" i="3"/>
  <c r="EQ2" i="3"/>
  <c r="EP2" i="3"/>
  <c r="EO2" i="3"/>
  <c r="EN2" i="3"/>
  <c r="EM2" i="3"/>
  <c r="EL2" i="3"/>
  <c r="EK2" i="3"/>
  <c r="EJ2" i="3"/>
  <c r="EI2" i="3"/>
  <c r="EH2" i="3"/>
  <c r="EG2" i="3"/>
  <c r="EF2" i="3"/>
  <c r="EE2" i="3"/>
  <c r="ED2" i="3"/>
  <c r="EC2" i="3"/>
  <c r="EB2" i="3"/>
  <c r="EA2" i="3"/>
  <c r="DZ2" i="3"/>
  <c r="DY2" i="3"/>
  <c r="DX2" i="3"/>
  <c r="DW2" i="3"/>
  <c r="DV2" i="3"/>
  <c r="DU2" i="3"/>
  <c r="DT2" i="3"/>
  <c r="DS2" i="3"/>
  <c r="DR2" i="3"/>
  <c r="DQ2" i="3"/>
  <c r="DP2" i="3"/>
  <c r="DO2" i="3"/>
  <c r="DN2" i="3"/>
  <c r="DM2" i="3"/>
  <c r="DL2" i="3"/>
  <c r="DK2" i="3"/>
  <c r="DJ2" i="3"/>
  <c r="DI2" i="3"/>
  <c r="DH2" i="3"/>
  <c r="DG2" i="3"/>
  <c r="DF2" i="3"/>
  <c r="DE2" i="3"/>
  <c r="DD2" i="3"/>
  <c r="DC2" i="3"/>
  <c r="DB2" i="3"/>
  <c r="DA2" i="3"/>
  <c r="CZ2" i="3"/>
  <c r="CY2" i="3"/>
  <c r="CX2" i="3"/>
  <c r="CW2" i="3"/>
  <c r="CV2" i="3"/>
  <c r="CU2" i="3"/>
  <c r="CT2" i="3"/>
  <c r="CS2" i="3"/>
  <c r="CR2" i="3"/>
  <c r="CQ2" i="3"/>
  <c r="CP2" i="3"/>
  <c r="CO2" i="3"/>
  <c r="CN2" i="3"/>
  <c r="CM2" i="3"/>
  <c r="CL2" i="3"/>
  <c r="CK2" i="3"/>
  <c r="CJ2" i="3"/>
  <c r="CI2" i="3"/>
  <c r="CH2" i="3"/>
  <c r="CG2" i="3"/>
  <c r="CF2" i="3"/>
  <c r="CE2" i="3"/>
  <c r="CD2" i="3"/>
  <c r="CC2" i="3"/>
  <c r="CB2" i="3"/>
  <c r="CA2" i="3"/>
  <c r="BZ2" i="3"/>
  <c r="BY2" i="3"/>
  <c r="BX2" i="3"/>
  <c r="BW2" i="3"/>
  <c r="BV2" i="3"/>
  <c r="BU2" i="3"/>
  <c r="BT2" i="3"/>
  <c r="BS2" i="3"/>
  <c r="BR2" i="3"/>
  <c r="G96" i="1"/>
  <c r="BQ2" i="3"/>
  <c r="BP2" i="3"/>
  <c r="BO2" i="3"/>
  <c r="BN2" i="3"/>
  <c r="BJ2" i="3"/>
  <c r="BI2" i="3"/>
  <c r="BH2" i="3"/>
  <c r="BG2" i="3"/>
  <c r="BF2" i="3"/>
  <c r="BE2" i="3"/>
  <c r="BD2" i="3"/>
  <c r="BC2" i="3"/>
  <c r="AY2" i="3"/>
  <c r="AX2" i="3"/>
  <c r="AW2" i="3"/>
  <c r="AS2" i="3"/>
  <c r="AR2" i="3"/>
  <c r="AQ2" i="3"/>
  <c r="AL2" i="3"/>
  <c r="AK2" i="3"/>
  <c r="AJ2" i="3"/>
  <c r="AI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A2" i="3"/>
  <c r="G2" i="3" l="1"/>
  <c r="B2" i="3"/>
  <c r="E2" i="3"/>
  <c r="F2" i="3"/>
  <c r="D2" i="3"/>
  <c r="G79" i="1" l="1"/>
  <c r="AE2" i="3" l="1"/>
  <c r="K98" i="1"/>
  <c r="BB2" i="3" s="1"/>
  <c r="G81" i="1"/>
  <c r="AF2" i="3" s="1"/>
  <c r="AV2" i="3"/>
  <c r="G94" i="1"/>
  <c r="AT2" i="3" s="1"/>
  <c r="AU2" i="3"/>
  <c r="G85" i="1"/>
  <c r="AH2" i="3" s="1"/>
  <c r="M5" i="1"/>
  <c r="C2" i="3" l="1"/>
  <c r="C2" i="4"/>
  <c r="K85" i="1"/>
  <c r="AP2" i="3" s="1"/>
  <c r="BM2" i="3" l="1"/>
  <c r="BL2" i="3"/>
  <c r="K96" i="1"/>
  <c r="BA2" i="3" s="1"/>
  <c r="K81" i="1"/>
  <c r="AN2" i="3" s="1"/>
  <c r="K83" i="1"/>
  <c r="AO2" i="3" s="1"/>
  <c r="K79" i="1"/>
  <c r="AM2" i="3" s="1"/>
  <c r="G83" i="1"/>
  <c r="BK2" i="3"/>
  <c r="AG2" i="3" l="1"/>
  <c r="E5" i="1"/>
  <c r="AZ2" i="3"/>
  <c r="Q4" i="1"/>
</calcChain>
</file>

<file path=xl/sharedStrings.xml><?xml version="1.0" encoding="utf-8"?>
<sst xmlns="http://schemas.openxmlformats.org/spreadsheetml/2006/main" count="837" uniqueCount="533">
  <si>
    <t>Grundlagendaten</t>
  </si>
  <si>
    <t>Strasse</t>
  </si>
  <si>
    <t>Nummer</t>
  </si>
  <si>
    <t>STRASSE</t>
  </si>
  <si>
    <t>Freistehend</t>
  </si>
  <si>
    <t>GEBAEUDEANORDNUNG</t>
  </si>
  <si>
    <t>Mittelhaus</t>
  </si>
  <si>
    <t>Endhaus</t>
  </si>
  <si>
    <t>unbekannt</t>
  </si>
  <si>
    <t>BEHEIZTE GESCHOSSE</t>
  </si>
  <si>
    <t>Anmerkungen:</t>
  </si>
  <si>
    <t>Anzahl der Wohneinheiten</t>
  </si>
  <si>
    <t>ANZAHL WE</t>
  </si>
  <si>
    <t>LEERSTAND</t>
  </si>
  <si>
    <t>Einfamilienhaus</t>
  </si>
  <si>
    <t>Mehrfamilienhaus</t>
  </si>
  <si>
    <t>Gewerbegebaeude</t>
  </si>
  <si>
    <t>Hochhaus</t>
  </si>
  <si>
    <t>Oeff. Einrichtung</t>
  </si>
  <si>
    <t>Industrie</t>
  </si>
  <si>
    <t>GEWERBEANTEIL</t>
  </si>
  <si>
    <t>Baujahr</t>
  </si>
  <si>
    <t>BAUJAHR</t>
  </si>
  <si>
    <t>vor 1918 Fachwerk</t>
  </si>
  <si>
    <t>1919-1948</t>
  </si>
  <si>
    <t>1949-1957</t>
  </si>
  <si>
    <t>1958-1968</t>
  </si>
  <si>
    <t>1969-1978</t>
  </si>
  <si>
    <t>1979-1983</t>
  </si>
  <si>
    <t>1984-1994</t>
  </si>
  <si>
    <t>1995-2001</t>
  </si>
  <si>
    <t>nach 2002</t>
  </si>
  <si>
    <t>EIGENTUEMER</t>
  </si>
  <si>
    <t>SAGA</t>
  </si>
  <si>
    <t>Genossenschaft</t>
  </si>
  <si>
    <t>Privat</t>
  </si>
  <si>
    <t>sonstige</t>
  </si>
  <si>
    <t>Denkmalschutz</t>
  </si>
  <si>
    <t>DENKMALSCHUTZ</t>
  </si>
  <si>
    <t>unter Denkmalschutz</t>
  </si>
  <si>
    <t>kein Denkmalschutz</t>
  </si>
  <si>
    <t>Dachform</t>
  </si>
  <si>
    <t>DACHFORM</t>
  </si>
  <si>
    <t>Flachdach</t>
  </si>
  <si>
    <t>Satteldach</t>
  </si>
  <si>
    <t>Berliner Dach</t>
  </si>
  <si>
    <t>Walmdach</t>
  </si>
  <si>
    <t>Bauteildaten</t>
  </si>
  <si>
    <t>Dachneigung</t>
  </si>
  <si>
    <t>DACHNEIGUNG</t>
  </si>
  <si>
    <t>unter 20 Grad</t>
  </si>
  <si>
    <t>über 20 Grad</t>
  </si>
  <si>
    <t>Dach</t>
  </si>
  <si>
    <t>Dachdeckung</t>
  </si>
  <si>
    <t>DACHDECKUNG</t>
  </si>
  <si>
    <t>Dämmung</t>
  </si>
  <si>
    <t>Metall</t>
  </si>
  <si>
    <t>Dachziegel</t>
  </si>
  <si>
    <t>sonstiges</t>
  </si>
  <si>
    <t>Zustand</t>
  </si>
  <si>
    <t>ja</t>
  </si>
  <si>
    <t>nein</t>
  </si>
  <si>
    <t>Fassade</t>
  </si>
  <si>
    <t>DAEMMUNG Dach</t>
  </si>
  <si>
    <t>DAEMMUNG Fassade</t>
  </si>
  <si>
    <t>ZUSTAND DACH</t>
  </si>
  <si>
    <t>Straßenseite</t>
  </si>
  <si>
    <t>Hofseite</t>
  </si>
  <si>
    <t>Giebel 1</t>
  </si>
  <si>
    <t>Giebel 2</t>
  </si>
  <si>
    <t>ZUSTAND FASSADE</t>
  </si>
  <si>
    <t>FASSADENMATERIAL</t>
  </si>
  <si>
    <t>Putz</t>
  </si>
  <si>
    <t>Ziegel</t>
  </si>
  <si>
    <t>WDVS</t>
  </si>
  <si>
    <t>ANTEIL DÄMMUNG</t>
  </si>
  <si>
    <t>Anteil der Dämmung in %</t>
  </si>
  <si>
    <t>Fassadenmaterial</t>
  </si>
  <si>
    <t>Holz</t>
  </si>
  <si>
    <t>ANTEIL</t>
  </si>
  <si>
    <t>Fenster</t>
  </si>
  <si>
    <t>Fensterart</t>
  </si>
  <si>
    <t>FENSTER Zustand</t>
  </si>
  <si>
    <t>Fensteranteil</t>
  </si>
  <si>
    <t>Einfachverglasung</t>
  </si>
  <si>
    <t>Kastenfenster</t>
  </si>
  <si>
    <t>Isolierverglasung</t>
  </si>
  <si>
    <t>Anlagentechnik</t>
  </si>
  <si>
    <t>Heizungsanlage</t>
  </si>
  <si>
    <t>Bezeichnung</t>
  </si>
  <si>
    <t>Einbaujahr</t>
  </si>
  <si>
    <t>zentral</t>
  </si>
  <si>
    <t>dezentral</t>
  </si>
  <si>
    <t>WAERMEVERSORGUNG</t>
  </si>
  <si>
    <t>Brennstoff</t>
  </si>
  <si>
    <t>BRENNSTOFF</t>
  </si>
  <si>
    <t>Erdgas</t>
  </si>
  <si>
    <t>Flüssiggas</t>
  </si>
  <si>
    <t>Heizöl</t>
  </si>
  <si>
    <t>Kohle</t>
  </si>
  <si>
    <t>Fernwärme</t>
  </si>
  <si>
    <t>Solarthermie</t>
  </si>
  <si>
    <t>Biogas</t>
  </si>
  <si>
    <t>Holz Holzpellets</t>
  </si>
  <si>
    <t>Strom</t>
  </si>
  <si>
    <t>Waermeerzeuger</t>
  </si>
  <si>
    <t>WAERMEERZEUGER</t>
  </si>
  <si>
    <t>Brennwertkessel</t>
  </si>
  <si>
    <t>Feststoffkessel</t>
  </si>
  <si>
    <t>Standard-Heizkessel</t>
  </si>
  <si>
    <t>Niedrigtemperaturkessel</t>
  </si>
  <si>
    <t>Elektrowaermepumpe</t>
  </si>
  <si>
    <t>Elektrospeicherheizung</t>
  </si>
  <si>
    <t>Holz Pelletfeuerung</t>
  </si>
  <si>
    <t>Fern Nahwaerme</t>
  </si>
  <si>
    <t>Sonstiges</t>
  </si>
  <si>
    <t>Warmwasseranlage wie Heizungsanlage</t>
  </si>
  <si>
    <t>WW wie HEIZUNG</t>
  </si>
  <si>
    <t>Warmwasseranlage</t>
  </si>
  <si>
    <t>WARMWASSERERZEUGER</t>
  </si>
  <si>
    <t>Pumpen</t>
  </si>
  <si>
    <t>PUMPEN</t>
  </si>
  <si>
    <t>geregelt</t>
  </si>
  <si>
    <t>ungeregelt</t>
  </si>
  <si>
    <t>Hydraulischer Abgleich vorhanden</t>
  </si>
  <si>
    <t>HYDRAULISCHER ABGLEICH</t>
  </si>
  <si>
    <t>Verteilleitungen verlegt in</t>
  </si>
  <si>
    <t>VERTEILLEITUNGEN</t>
  </si>
  <si>
    <t>beheiztem Bereich</t>
  </si>
  <si>
    <t>unbeheiztem Bereich</t>
  </si>
  <si>
    <t>Verteilleitungen sind</t>
  </si>
  <si>
    <t>gedaemmt</t>
  </si>
  <si>
    <t>ungedaemmt</t>
  </si>
  <si>
    <t>nach EnEV gedaemmt</t>
  </si>
  <si>
    <t>aufgenommen durch</t>
  </si>
  <si>
    <t>aufgenommen am</t>
  </si>
  <si>
    <t>HINWEIS: Ausfüllen der nachstehenden Informationen zur Warmwasseranlage entfällt bei Auswahl "ja"</t>
  </si>
  <si>
    <t>(HINWEIS: Mehrfachnennungen sind möglich)</t>
  </si>
  <si>
    <t>gewerblich</t>
  </si>
  <si>
    <t>Eigentumsverhältnis</t>
  </si>
  <si>
    <t>Glasbausteine</t>
  </si>
  <si>
    <t>Größe der WE in m²</t>
  </si>
  <si>
    <t>Anzahl der Räume</t>
  </si>
  <si>
    <t>Eigentümer</t>
  </si>
  <si>
    <t>Decken/ Boden</t>
  </si>
  <si>
    <t>Anzahl der Bewohner inkl. Kinder</t>
  </si>
  <si>
    <t>Beschäftigungsstatus</t>
  </si>
  <si>
    <t>Familienstand</t>
  </si>
  <si>
    <t>Bildungsstand</t>
  </si>
  <si>
    <t>Sozialstruktur</t>
  </si>
  <si>
    <t>privat</t>
  </si>
  <si>
    <t>Miete (SAGA)</t>
  </si>
  <si>
    <t>Miete (Genossenschaft)</t>
  </si>
  <si>
    <t>Vermieter 1</t>
  </si>
  <si>
    <t>Vermieter 2</t>
  </si>
  <si>
    <t>Vermieter 3</t>
  </si>
  <si>
    <t>Vermieter 4</t>
  </si>
  <si>
    <t>Vermieter 5</t>
  </si>
  <si>
    <t>Vermieter 6</t>
  </si>
  <si>
    <t>Vermieter 7</t>
  </si>
  <si>
    <t>AUSTAUSCH FENSTER</t>
  </si>
  <si>
    <t>EIGENTÜMER</t>
  </si>
  <si>
    <t>ANZAHL DER RÄUME</t>
  </si>
  <si>
    <t>FASSADENARBEITEN</t>
  </si>
  <si>
    <t>HEIZUNGSANLAGENARBEITEN</t>
  </si>
  <si>
    <t>DECKEN/BODENARBEITEN</t>
  </si>
  <si>
    <t>ANZAHL DER BEWOHNER</t>
  </si>
  <si>
    <t>BEWOHNERALTER</t>
  </si>
  <si>
    <t>Bewohner 1</t>
  </si>
  <si>
    <t>Bewohner 2</t>
  </si>
  <si>
    <t>Bewohner 3</t>
  </si>
  <si>
    <t>Bewohner 4</t>
  </si>
  <si>
    <t>Bewohner 5</t>
  </si>
  <si>
    <t>BILDUNGSSTAND</t>
  </si>
  <si>
    <t>KiTA</t>
  </si>
  <si>
    <t>Grundschule</t>
  </si>
  <si>
    <t>Abitur</t>
  </si>
  <si>
    <t>Realschulabschluss</t>
  </si>
  <si>
    <t>Berufschulabschluss</t>
  </si>
  <si>
    <t>ohne Ausbildung</t>
  </si>
  <si>
    <t>FAMILIENSTAND</t>
  </si>
  <si>
    <t>ledig</t>
  </si>
  <si>
    <t>verheiratet</t>
  </si>
  <si>
    <t>verwitwet</t>
  </si>
  <si>
    <t>geschieden</t>
  </si>
  <si>
    <t>Ehe aufgehoben</t>
  </si>
  <si>
    <t>in eingetragener Lebenspartnerschaft</t>
  </si>
  <si>
    <t>Alter des Bewohners</t>
  </si>
  <si>
    <t>BESCHÄFTIGUNGSSTATUS</t>
  </si>
  <si>
    <t>in Ausbildung</t>
  </si>
  <si>
    <t>erwerbstätig</t>
  </si>
  <si>
    <t>Rentner</t>
  </si>
  <si>
    <t>arbeitsunfähig</t>
  </si>
  <si>
    <t>arbeitssuchend</t>
  </si>
  <si>
    <t>Anmerkungen</t>
  </si>
  <si>
    <t>Letzte Sanierung</t>
  </si>
  <si>
    <t>Anzahl beheizte Kellergeschosse</t>
  </si>
  <si>
    <t>Anzahl beheizte Dachgeschosse</t>
  </si>
  <si>
    <t>Anzahl beheizte Vollgeschosse</t>
  </si>
  <si>
    <t>GEBAEUDESEKTOREN</t>
  </si>
  <si>
    <t>Datenquelle</t>
  </si>
  <si>
    <t>DATENQUELLE</t>
  </si>
  <si>
    <t>Information</t>
  </si>
  <si>
    <t>Einschaetzung</t>
  </si>
  <si>
    <t>Mansarddach</t>
  </si>
  <si>
    <t>Krüppelwalmdach</t>
  </si>
  <si>
    <t>gut</t>
  </si>
  <si>
    <t>mittel</t>
  </si>
  <si>
    <t>schlecht</t>
  </si>
  <si>
    <t>Bitumen oder  Folie</t>
  </si>
  <si>
    <t>begruent</t>
  </si>
  <si>
    <t>Kunststoff</t>
  </si>
  <si>
    <t>Riemchen</t>
  </si>
  <si>
    <t>LÜFTUNGSSCHLITZE</t>
  </si>
  <si>
    <t>Waermeschutzglas</t>
  </si>
  <si>
    <t>FENSTERART</t>
  </si>
  <si>
    <t>FASSADENFENSTERFLÄCHENANTEIL</t>
  </si>
  <si>
    <t>WARMWASSERVERSORGUNG</t>
  </si>
  <si>
    <t>teilweise geschuetzt</t>
  </si>
  <si>
    <t>Universitaetsabschluss</t>
  </si>
  <si>
    <t>aufgeloeste Lebenspartnerschaft</t>
  </si>
  <si>
    <t xml:space="preserve">Zusatz </t>
  </si>
  <si>
    <t>Alle Fragen beantwortet:</t>
  </si>
  <si>
    <t>ZUSATZ</t>
  </si>
  <si>
    <t>a</t>
  </si>
  <si>
    <t>b</t>
  </si>
  <si>
    <t>c</t>
  </si>
  <si>
    <t>k</t>
  </si>
  <si>
    <t>d</t>
  </si>
  <si>
    <t>e</t>
  </si>
  <si>
    <t>f</t>
  </si>
  <si>
    <t>g</t>
  </si>
  <si>
    <t>h</t>
  </si>
  <si>
    <t>i</t>
  </si>
  <si>
    <t>j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</si>
  <si>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</si>
  <si>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</si>
  <si>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</si>
  <si>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</si>
  <si>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</si>
  <si>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</si>
  <si>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</si>
  <si>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</si>
  <si>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</si>
  <si>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</si>
  <si>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</si>
  <si>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</si>
  <si>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</si>
  <si>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</si>
  <si>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</si>
  <si>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kein</t>
  </si>
  <si>
    <t>Sozio-demographische Daten je Wohneinheit</t>
  </si>
  <si>
    <t>Gebaeudehöhe in m bis Traufe</t>
  </si>
  <si>
    <t>Gebäudesektoren</t>
  </si>
  <si>
    <t>aktualisiert am</t>
  </si>
  <si>
    <t>Anteil aller Fenster an der Fassade</t>
  </si>
  <si>
    <t>Giebel 1 = Giebel 2</t>
  </si>
  <si>
    <t xml:space="preserve">Straßenseite = Hofseite </t>
  </si>
  <si>
    <t>Leerstehende Wohnungen</t>
  </si>
  <si>
    <t>Gebäudeanordnung</t>
  </si>
  <si>
    <t>AUFNAHMEBOGEN</t>
  </si>
  <si>
    <t>Wärmeversorgungsart</t>
  </si>
  <si>
    <t>Warmwasserversorgungsart</t>
  </si>
  <si>
    <t>sichtbare Lüftungsschlitze gesamt</t>
  </si>
  <si>
    <t xml:space="preserve">Dämmung </t>
  </si>
  <si>
    <t>vor 1919  Fachwerk</t>
  </si>
  <si>
    <t>vor 1919</t>
  </si>
  <si>
    <t>Iso,  WS-glas, 3-fach-glas</t>
  </si>
  <si>
    <t>3-fach Verglasung</t>
  </si>
  <si>
    <t>STRASSENR</t>
  </si>
  <si>
    <t>ERFASSER</t>
  </si>
  <si>
    <t>DATUM</t>
  </si>
  <si>
    <t>AKTUALISIERT</t>
  </si>
  <si>
    <t>Wohneinheit 1</t>
  </si>
  <si>
    <t>Wohneinheit 2</t>
  </si>
  <si>
    <t>Wohneinheit 3</t>
  </si>
  <si>
    <t>Wohneinheit 4</t>
  </si>
  <si>
    <t>Wohneinheit 5</t>
  </si>
  <si>
    <t>Speichern</t>
  </si>
  <si>
    <t>GESCHOSSKELLER</t>
  </si>
  <si>
    <t>GESCHOSSDACH</t>
  </si>
  <si>
    <t>GESCHOSSVOLL</t>
  </si>
  <si>
    <t>GEBAEUDEHOEHE</t>
  </si>
  <si>
    <t>ANZAHLWE</t>
  </si>
  <si>
    <t>LEERSTANDWE</t>
  </si>
  <si>
    <t>SEKTOR</t>
  </si>
  <si>
    <t>BAUJAHR1</t>
  </si>
  <si>
    <t>BAUJAHR2</t>
  </si>
  <si>
    <t>BAUJAHR3</t>
  </si>
  <si>
    <t>BAUJAHRQUELLE</t>
  </si>
  <si>
    <t>EIGENTUM</t>
  </si>
  <si>
    <t>DENKMAL</t>
  </si>
  <si>
    <t>DACHZUSTAND</t>
  </si>
  <si>
    <t>DACHDAEMMUNG</t>
  </si>
  <si>
    <t>DACHDAEMMUNGANTEIL</t>
  </si>
  <si>
    <t>F1A_ZUSTAND</t>
  </si>
  <si>
    <t>F1A_MATERIAL</t>
  </si>
  <si>
    <t>F1_LUEFTUNG</t>
  </si>
  <si>
    <t>F2A_ZUSTAND</t>
  </si>
  <si>
    <t>F2A_MATERIAL</t>
  </si>
  <si>
    <t>F2A_DAEMMUNG</t>
  </si>
  <si>
    <t>F2_LUEFTUNG</t>
  </si>
  <si>
    <t>F3A_ZUSTAND</t>
  </si>
  <si>
    <t>F3A_MATERIAL</t>
  </si>
  <si>
    <t>F3A_DAEMMUNG</t>
  </si>
  <si>
    <t>F3_LUEFTUNG</t>
  </si>
  <si>
    <t>F4A_ZUSTAND</t>
  </si>
  <si>
    <t>F4A_MATERIAL</t>
  </si>
  <si>
    <t>F4A_DAEMMUNG</t>
  </si>
  <si>
    <t>F4_LUEFTUNG</t>
  </si>
  <si>
    <t>W1A_ZUSTAND</t>
  </si>
  <si>
    <t>W1A_ART</t>
  </si>
  <si>
    <t>W1_ANTEIL</t>
  </si>
  <si>
    <t>W2A_ZUSTAND</t>
  </si>
  <si>
    <t>W3A_ZUSTAND</t>
  </si>
  <si>
    <t>W4A_ZUSTAND</t>
  </si>
  <si>
    <t>W2A_ART</t>
  </si>
  <si>
    <t>W4A_ART</t>
  </si>
  <si>
    <t>W3A_ART</t>
  </si>
  <si>
    <t>W2_ANTEIL</t>
  </si>
  <si>
    <t>W3_ANTEIL</t>
  </si>
  <si>
    <t>W4_ANTEIL</t>
  </si>
  <si>
    <t>WWASSERBEZEICHNUNG</t>
  </si>
  <si>
    <t>WWASSERJAHR</t>
  </si>
  <si>
    <t>WWASSERART</t>
  </si>
  <si>
    <t>WWBRENNSTOFF</t>
  </si>
  <si>
    <t>WWERZEUGER</t>
  </si>
  <si>
    <t>WWPUMPE</t>
  </si>
  <si>
    <t>WWHYDRAULISCH</t>
  </si>
  <si>
    <t>WWLEITUNGJAHR</t>
  </si>
  <si>
    <t>WWZUSTAND</t>
  </si>
  <si>
    <t>HEIZBEZEICHNUNG</t>
  </si>
  <si>
    <t>HEIZJAHR</t>
  </si>
  <si>
    <t>HEIZART</t>
  </si>
  <si>
    <t>HEIZBRENNSTOFF</t>
  </si>
  <si>
    <t>HEIZERZEUGER</t>
  </si>
  <si>
    <t>HEIZWIEWW</t>
  </si>
  <si>
    <t>WEGROESSE</t>
  </si>
  <si>
    <t>WERAEUME</t>
  </si>
  <si>
    <t>WEEIGENTUM</t>
  </si>
  <si>
    <t>WESANFENSTER</t>
  </si>
  <si>
    <t>WESANFASSADE</t>
  </si>
  <si>
    <t>WESANDECKE</t>
  </si>
  <si>
    <t>WESANHEIZUNG</t>
  </si>
  <si>
    <t>WE1_ANZAHL</t>
  </si>
  <si>
    <t>WE1A_ALTER</t>
  </si>
  <si>
    <t>WE1A_BILDUNG</t>
  </si>
  <si>
    <t>WE1A_FAMILIE</t>
  </si>
  <si>
    <t>WE1A_BERUF</t>
  </si>
  <si>
    <t>WE1B_ALTER</t>
  </si>
  <si>
    <t>WE1B_BILDUNG</t>
  </si>
  <si>
    <t>WE1B_FAMILIE</t>
  </si>
  <si>
    <t>WE1B_BERUF</t>
  </si>
  <si>
    <t>WE1C_ALTER</t>
  </si>
  <si>
    <t>WE1C_BILDUNG</t>
  </si>
  <si>
    <t>WE1C_FAMILIE</t>
  </si>
  <si>
    <t>WE1C_BERUF</t>
  </si>
  <si>
    <t>WE1D_ALTER</t>
  </si>
  <si>
    <t>WE1D_BILDUNG</t>
  </si>
  <si>
    <t>WE1D_FAMILIE</t>
  </si>
  <si>
    <t>WE1D_BERUF</t>
  </si>
  <si>
    <t>WE1E_ALTER</t>
  </si>
  <si>
    <t>WE1E_BILDUNG</t>
  </si>
  <si>
    <t>WE1E_FAMILIE</t>
  </si>
  <si>
    <t>WE1E_BERUF</t>
  </si>
  <si>
    <t>WE2_ANZAHL</t>
  </si>
  <si>
    <t>WE2A_ALTER</t>
  </si>
  <si>
    <t>WE2A_BILDUNG</t>
  </si>
  <si>
    <t>WE2A_FAMILIE</t>
  </si>
  <si>
    <t>WE2A_BERUF</t>
  </si>
  <si>
    <t>WE2B_ALTER</t>
  </si>
  <si>
    <t>WE2B_BILDUNG</t>
  </si>
  <si>
    <t>WE2B_FAMILIE</t>
  </si>
  <si>
    <t>WE2B_BERUF</t>
  </si>
  <si>
    <t>WE2C_ALTER</t>
  </si>
  <si>
    <t>WE2C_BILDUNG</t>
  </si>
  <si>
    <t>WE2C_FAMILIE</t>
  </si>
  <si>
    <t>WE2C_BERUF</t>
  </si>
  <si>
    <t>WE2D_ALTER</t>
  </si>
  <si>
    <t>WE2D_BILDUNG</t>
  </si>
  <si>
    <t>WE2D_FAMILIE</t>
  </si>
  <si>
    <t>WE2D_BERUF</t>
  </si>
  <si>
    <t>WE2E_ALTER</t>
  </si>
  <si>
    <t>WE2E_BILDUNG</t>
  </si>
  <si>
    <t>WE2E_FAMILIE</t>
  </si>
  <si>
    <t>WE2E_BERUF</t>
  </si>
  <si>
    <t>WE3_ANZAHL</t>
  </si>
  <si>
    <t>WE3A_ALTER</t>
  </si>
  <si>
    <t>WE3A_BILDUNG</t>
  </si>
  <si>
    <t>WE3A_FAMILIE</t>
  </si>
  <si>
    <t>WE3A_BERUF</t>
  </si>
  <si>
    <t>WE3B_ALTER</t>
  </si>
  <si>
    <t>WE3B_BILDUNG</t>
  </si>
  <si>
    <t>WE3B_FAMILIE</t>
  </si>
  <si>
    <t>WE3B_BERUF</t>
  </si>
  <si>
    <t>WE3C_ALTER</t>
  </si>
  <si>
    <t>WE3C_BILDUNG</t>
  </si>
  <si>
    <t>WE3C_FAMILIE</t>
  </si>
  <si>
    <t>WE3C_BERUF</t>
  </si>
  <si>
    <t>WE3D_ALTER</t>
  </si>
  <si>
    <t>WE3D_BILDUNG</t>
  </si>
  <si>
    <t>WE3D_FAMILIE</t>
  </si>
  <si>
    <t>WE3D_BERUF</t>
  </si>
  <si>
    <t>WE3E_ALTER</t>
  </si>
  <si>
    <t>WE3E_BILDUNG</t>
  </si>
  <si>
    <t>WE3E_FAMILIE</t>
  </si>
  <si>
    <t>WE3E_BERUF</t>
  </si>
  <si>
    <t>WE4_ANZAHL</t>
  </si>
  <si>
    <t>WE4A_ALTER</t>
  </si>
  <si>
    <t>WE4A_BILDUNG</t>
  </si>
  <si>
    <t>WE4A_FAMILIE</t>
  </si>
  <si>
    <t>WE4A_BERUF</t>
  </si>
  <si>
    <t>WE4B_ALTER</t>
  </si>
  <si>
    <t>WE4B_BILDUNG</t>
  </si>
  <si>
    <t>WE4B_FAMILIE</t>
  </si>
  <si>
    <t>WE4B_BERUF</t>
  </si>
  <si>
    <t>WE4C_ALTER</t>
  </si>
  <si>
    <t>WE4C_BILDUNG</t>
  </si>
  <si>
    <t>WE4C_FAMILIE</t>
  </si>
  <si>
    <t>WE4C_BERUF</t>
  </si>
  <si>
    <t>WE4D_ALTER</t>
  </si>
  <si>
    <t>WE4D_BILDUNG</t>
  </si>
  <si>
    <t>WE4D_FAMILIE</t>
  </si>
  <si>
    <t>WE4D_BERUF</t>
  </si>
  <si>
    <t>WE4E_ALTER</t>
  </si>
  <si>
    <t>WE4E_BILDUNG</t>
  </si>
  <si>
    <t>WE4E_FAMILIE</t>
  </si>
  <si>
    <t>WE4E_BERUF</t>
  </si>
  <si>
    <t>WE5_ANZAHL</t>
  </si>
  <si>
    <t>WE5A_ALTER</t>
  </si>
  <si>
    <t>WE5A_BILDUNG</t>
  </si>
  <si>
    <t>WE5A_FAMILIE</t>
  </si>
  <si>
    <t>WE5A_BERUF</t>
  </si>
  <si>
    <t>WE5B_ALTER</t>
  </si>
  <si>
    <t>WE5B_BILDUNG</t>
  </si>
  <si>
    <t>WE5B_FAMILIE</t>
  </si>
  <si>
    <t>WE5B_BERUF</t>
  </si>
  <si>
    <t>WE5C_ALTER</t>
  </si>
  <si>
    <t>WE5C_BILDUNG</t>
  </si>
  <si>
    <t>WE5C_FAMILIE</t>
  </si>
  <si>
    <t>WE5C_BERUF</t>
  </si>
  <si>
    <t>WE5D_ALTER</t>
  </si>
  <si>
    <t>WE5D_BILDUNG</t>
  </si>
  <si>
    <t>WE5D_FAMILIE</t>
  </si>
  <si>
    <t>WE5D_BERUF</t>
  </si>
  <si>
    <t>WE5E_ALTER</t>
  </si>
  <si>
    <t>WE5E_BILDUNG</t>
  </si>
  <si>
    <t>WE5E_FAMILIE</t>
  </si>
  <si>
    <t>WE5E_BERUF</t>
  </si>
  <si>
    <t>Mittelhaus mit freiem Giebel</t>
  </si>
  <si>
    <t>0 bis 5 Grad</t>
  </si>
  <si>
    <t>Mietpreis</t>
  </si>
  <si>
    <t>&lt;6€</t>
  </si>
  <si>
    <t>6- 8€</t>
  </si>
  <si>
    <t>8,01- 10€</t>
  </si>
  <si>
    <t>10,01- 12€</t>
  </si>
  <si>
    <t>12,01- 14€</t>
  </si>
  <si>
    <t>14,01- 16€</t>
  </si>
  <si>
    <t>&gt;16€</t>
  </si>
  <si>
    <t>1 - 20</t>
  </si>
  <si>
    <t>21 - 35</t>
  </si>
  <si>
    <t xml:space="preserve">Febsteranteil </t>
  </si>
  <si>
    <t>35 und mehr</t>
  </si>
  <si>
    <t>Mietpreis je m²</t>
  </si>
  <si>
    <t>Gottschalkring</t>
  </si>
  <si>
    <t>Marmstorfer Weg</t>
  </si>
  <si>
    <t>Julius-Ludowieg-Strasse</t>
  </si>
  <si>
    <t>Knoopstrasse</t>
  </si>
  <si>
    <t>Wilhelmstrasse</t>
  </si>
  <si>
    <t>Kroosweg</t>
  </si>
  <si>
    <t>Hastedtweg</t>
  </si>
  <si>
    <t>Hastedtplatz</t>
  </si>
  <si>
    <t>Maretstrasse</t>
  </si>
  <si>
    <t>Gerade Strasse</t>
  </si>
  <si>
    <t>Wuerffelstrasse</t>
  </si>
  <si>
    <t>Baererstrasse</t>
  </si>
  <si>
    <t>Bremer Strasse</t>
  </si>
  <si>
    <t>Bandelstrasse</t>
  </si>
  <si>
    <t>Hohe Strasse</t>
  </si>
  <si>
    <t>Eissendorfer Muehlenweg</t>
  </si>
  <si>
    <t>Gaiserstrasse</t>
  </si>
  <si>
    <t>Bornemannstrasse</t>
  </si>
  <si>
    <t>Harmstrasse</t>
  </si>
  <si>
    <t>Wittingstrasse</t>
  </si>
  <si>
    <t>Brunsstrasse</t>
  </si>
  <si>
    <t>Steinikestrasse</t>
  </si>
  <si>
    <t>Goehlbachstrasse</t>
  </si>
  <si>
    <t>Mergellstrasse</t>
  </si>
  <si>
    <t>Marienstrasse</t>
  </si>
  <si>
    <t>Hirschfeldstrasse</t>
  </si>
  <si>
    <t>Goeschenstrasse</t>
  </si>
  <si>
    <t>Haeckelstrasse</t>
  </si>
  <si>
    <t>Asbeckstrasse</t>
  </si>
  <si>
    <t>FEN_ZUSTAND</t>
  </si>
  <si>
    <t>FEN_MATERIAL</t>
  </si>
  <si>
    <t>FEN_LUEFTUNG</t>
  </si>
  <si>
    <t>WE1A</t>
  </si>
  <si>
    <t>WE1B</t>
  </si>
  <si>
    <t>WE1C</t>
  </si>
  <si>
    <t>WE1D</t>
  </si>
  <si>
    <t>WE1E</t>
  </si>
  <si>
    <t>WE2A</t>
  </si>
  <si>
    <t>WE2B</t>
  </si>
  <si>
    <t>WE2C</t>
  </si>
  <si>
    <t>WE2D</t>
  </si>
  <si>
    <t>WE2E</t>
  </si>
  <si>
    <t>WE3E</t>
  </si>
  <si>
    <t>WE3A</t>
  </si>
  <si>
    <t>WE3B</t>
  </si>
  <si>
    <t>WE3C</t>
  </si>
  <si>
    <t>WE3D</t>
  </si>
  <si>
    <t>WE4A</t>
  </si>
  <si>
    <t>WE4B</t>
  </si>
  <si>
    <t>WE4C</t>
  </si>
  <si>
    <t>WE4D</t>
  </si>
  <si>
    <t>WE4E</t>
  </si>
  <si>
    <t>WE5A</t>
  </si>
  <si>
    <t>WE5B</t>
  </si>
  <si>
    <t>WE5C</t>
  </si>
  <si>
    <t>WE5D</t>
  </si>
  <si>
    <t>WE5E</t>
  </si>
  <si>
    <t>Nichtwohnanteil in %</t>
  </si>
  <si>
    <t>1 bis 10</t>
  </si>
  <si>
    <t>11 bis 20</t>
  </si>
  <si>
    <t>21 bis 30</t>
  </si>
  <si>
    <t>31 bis 40</t>
  </si>
  <si>
    <t>41 bis 50</t>
  </si>
  <si>
    <t>51 bis 60</t>
  </si>
  <si>
    <t>61 bis 70</t>
  </si>
  <si>
    <t>71 bis 80</t>
  </si>
  <si>
    <t>81 bis 90</t>
  </si>
  <si>
    <t>91 bis 99</t>
  </si>
  <si>
    <t>Wohn- und Gewerbegebaeude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</si>
</sst>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* #,##0\ &quot;€&quot;_-;\-* #,##0\ &quot;€&quot;_-;_-* &quot;-&quot;\ &quot;€&quot;_-;_-@_-"/>
    <numFmt numFmtId="164" formatCode="#,##0.0"/>
  </numFmts>
  <fonts count="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4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3" xfId="0" applyFill="1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6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10" xfId="0" applyFill="1" applyBorder="1"/>
    <xf numFmtId="0" fontId="0" fillId="0" borderId="2" xfId="0" applyFill="1" applyBorder="1"/>
    <xf numFmtId="0" fontId="0" fillId="0" borderId="4" xfId="0" applyFill="1" applyBorder="1" applyAlignment="1">
      <alignment horizontal="left"/>
    </xf>
    <xf numFmtId="0" fontId="0" fillId="0" borderId="5" xfId="0" applyFill="1" applyBorder="1"/>
    <xf numFmtId="0" fontId="0" fillId="0" borderId="7" xfId="0" applyFill="1" applyBorder="1"/>
    <xf numFmtId="0" fontId="0" fillId="0" borderId="8" xfId="0" applyFill="1" applyBorder="1" applyAlignment="1">
      <alignment horizontal="left"/>
    </xf>
    <xf numFmtId="0" fontId="0" fillId="0" borderId="10" xfId="0" applyBorder="1"/>
    <xf numFmtId="0" fontId="0" fillId="0" borderId="2" xfId="0" applyFill="1" applyBorder="1" applyAlignment="1">
      <alignment horizontal="left"/>
    </xf>
    <xf numFmtId="0" fontId="0" fillId="0" borderId="4" xfId="0" applyFill="1" applyBorder="1"/>
    <xf numFmtId="0" fontId="0" fillId="0" borderId="6" xfId="0" applyFill="1" applyBorder="1"/>
    <xf numFmtId="0" fontId="0" fillId="0" borderId="8" xfId="0" applyFill="1" applyBorder="1"/>
    <xf numFmtId="0" fontId="0" fillId="0" borderId="9" xfId="0" applyFill="1" applyBorder="1"/>
    <xf numFmtId="0" fontId="0" fillId="2" borderId="0" xfId="0" applyFill="1" applyBorder="1"/>
    <xf numFmtId="0" fontId="0" fillId="3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" borderId="0" xfId="0" applyFill="1" applyBorder="1" applyAlignment="1">
      <alignment horizontal="center"/>
    </xf>
    <xf numFmtId="0" fontId="0" fillId="6" borderId="0" xfId="0" applyFill="1" applyBorder="1"/>
    <xf numFmtId="0" fontId="0" fillId="7" borderId="0" xfId="0" applyFill="1" applyBorder="1"/>
    <xf numFmtId="0" fontId="0" fillId="8" borderId="0" xfId="0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6" xfId="0" applyBorder="1"/>
    <xf numFmtId="0" fontId="0" fillId="0" borderId="15" xfId="0" applyBorder="1"/>
    <xf numFmtId="0" fontId="0" fillId="0" borderId="18" xfId="0" applyBorder="1"/>
    <xf numFmtId="0" fontId="0" fillId="9" borderId="0" xfId="0" applyFill="1" applyBorder="1"/>
    <xf numFmtId="0" fontId="0" fillId="0" borderId="15" xfId="0" applyFill="1" applyBorder="1"/>
    <xf numFmtId="0" fontId="0" fillId="0" borderId="0" xfId="0" applyFill="1" applyBorder="1"/>
    <xf numFmtId="0" fontId="0" fillId="0" borderId="16" xfId="0" applyFill="1" applyBorder="1"/>
    <xf numFmtId="0" fontId="0" fillId="0" borderId="0" xfId="0" applyAlignment="1">
      <alignment horizontal="left"/>
    </xf>
    <xf numFmtId="0" fontId="0" fillId="0" borderId="20" xfId="0" applyFill="1" applyBorder="1"/>
    <xf numFmtId="0" fontId="0" fillId="0" borderId="11" xfId="0" applyFill="1" applyBorder="1"/>
    <xf numFmtId="0" fontId="0" fillId="11" borderId="0" xfId="0" applyFill="1" applyBorder="1"/>
    <xf numFmtId="0" fontId="0" fillId="12" borderId="0" xfId="0" applyFill="1" applyBorder="1"/>
    <xf numFmtId="0" fontId="0" fillId="12" borderId="16" xfId="0" applyFill="1" applyBorder="1"/>
    <xf numFmtId="0" fontId="0" fillId="13" borderId="0" xfId="0" applyFill="1" applyBorder="1"/>
    <xf numFmtId="49" fontId="0" fillId="0" borderId="4" xfId="0" applyNumberFormat="1" applyFill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49" fontId="0" fillId="0" borderId="3" xfId="0" applyNumberFormat="1" applyFill="1" applyBorder="1" applyAlignment="1">
      <alignment horizontal="left"/>
    </xf>
    <xf numFmtId="0" fontId="0" fillId="5" borderId="0" xfId="0" applyFill="1" applyBorder="1" applyAlignment="1">
      <alignment horizontal="center"/>
    </xf>
    <xf numFmtId="0" fontId="0" fillId="14" borderId="0" xfId="0" applyFill="1" applyBorder="1"/>
    <xf numFmtId="0" fontId="0" fillId="0" borderId="20" xfId="0" applyBorder="1"/>
    <xf numFmtId="0" fontId="5" fillId="0" borderId="4" xfId="0" applyFont="1" applyBorder="1"/>
    <xf numFmtId="0" fontId="3" fillId="9" borderId="0" xfId="0" applyFont="1" applyFill="1" applyBorder="1"/>
    <xf numFmtId="0" fontId="2" fillId="0" borderId="0" xfId="0" applyFont="1" applyBorder="1"/>
    <xf numFmtId="0" fontId="1" fillId="2" borderId="0" xfId="0" applyFont="1" applyFill="1" applyBorder="1"/>
    <xf numFmtId="0" fontId="1" fillId="3" borderId="0" xfId="0" applyFont="1" applyFill="1" applyBorder="1"/>
    <xf numFmtId="0" fontId="0" fillId="3" borderId="0" xfId="0" applyFill="1" applyBorder="1" applyAlignment="1">
      <alignment wrapText="1"/>
    </xf>
    <xf numFmtId="0" fontId="1" fillId="4" borderId="0" xfId="0" applyFont="1" applyFill="1" applyBorder="1"/>
    <xf numFmtId="0" fontId="4" fillId="4" borderId="0" xfId="0" applyFont="1" applyFill="1" applyBorder="1"/>
    <xf numFmtId="0" fontId="0" fillId="4" borderId="0" xfId="0" applyFill="1" applyBorder="1" applyAlignment="1">
      <alignment wrapText="1"/>
    </xf>
    <xf numFmtId="0" fontId="1" fillId="6" borderId="0" xfId="0" applyFont="1" applyFill="1" applyBorder="1"/>
    <xf numFmtId="0" fontId="4" fillId="11" borderId="0" xfId="0" applyFont="1" applyFill="1" applyBorder="1"/>
    <xf numFmtId="0" fontId="1" fillId="12" borderId="0" xfId="0" applyFont="1" applyFill="1" applyBorder="1"/>
    <xf numFmtId="0" fontId="5" fillId="12" borderId="0" xfId="0" applyFont="1" applyFill="1" applyBorder="1"/>
    <xf numFmtId="0" fontId="0" fillId="14" borderId="0" xfId="0" applyFill="1" applyBorder="1" applyAlignment="1">
      <alignment horizontal="center"/>
    </xf>
    <xf numFmtId="14" fontId="0" fillId="0" borderId="0" xfId="0" applyNumberFormat="1" applyBorder="1" applyAlignment="1">
      <alignment horizontal="left"/>
    </xf>
    <xf numFmtId="0" fontId="0" fillId="7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2" borderId="13" xfId="0" applyFill="1" applyBorder="1"/>
    <xf numFmtId="0" fontId="0" fillId="12" borderId="14" xfId="0" applyFill="1" applyBorder="1"/>
    <xf numFmtId="0" fontId="0" fillId="12" borderId="15" xfId="0" applyFill="1" applyBorder="1" applyAlignment="1">
      <alignment horizontal="right"/>
    </xf>
    <xf numFmtId="14" fontId="0" fillId="12" borderId="21" xfId="0" applyNumberFormat="1" applyFill="1" applyBorder="1" applyAlignment="1">
      <alignment horizontal="left"/>
    </xf>
    <xf numFmtId="14" fontId="0" fillId="12" borderId="16" xfId="0" applyNumberFormat="1" applyFill="1" applyBorder="1" applyAlignment="1">
      <alignment horizontal="left"/>
    </xf>
    <xf numFmtId="0" fontId="0" fillId="12" borderId="17" xfId="0" applyFill="1" applyBorder="1" applyAlignment="1">
      <alignment horizontal="right"/>
    </xf>
    <xf numFmtId="0" fontId="0" fillId="12" borderId="18" xfId="0" applyFill="1" applyBorder="1"/>
    <xf numFmtId="14" fontId="0" fillId="12" borderId="18" xfId="0" applyNumberFormat="1" applyFill="1" applyBorder="1" applyAlignment="1">
      <alignment horizontal="left"/>
    </xf>
    <xf numFmtId="14" fontId="0" fillId="12" borderId="19" xfId="0" applyNumberFormat="1" applyFill="1" applyBorder="1" applyAlignment="1">
      <alignment horizontal="left"/>
    </xf>
    <xf numFmtId="0" fontId="0" fillId="14" borderId="0" xfId="0" applyFill="1"/>
    <xf numFmtId="0" fontId="0" fillId="14" borderId="22" xfId="0" applyFill="1" applyBorder="1"/>
    <xf numFmtId="0" fontId="0" fillId="14" borderId="22" xfId="0" applyFill="1" applyBorder="1" applyAlignment="1">
      <alignment horizontal="right"/>
    </xf>
    <xf numFmtId="14" fontId="0" fillId="14" borderId="22" xfId="0" applyNumberFormat="1" applyFill="1" applyBorder="1" applyAlignment="1">
      <alignment horizontal="left"/>
    </xf>
    <xf numFmtId="0" fontId="1" fillId="13" borderId="0" xfId="0" applyFont="1" applyFill="1" applyBorder="1"/>
    <xf numFmtId="0" fontId="1" fillId="0" borderId="0" xfId="0" applyFont="1" applyFill="1" applyBorder="1"/>
    <xf numFmtId="14" fontId="0" fillId="0" borderId="0" xfId="0" applyNumberFormat="1" applyFill="1" applyBorder="1" applyAlignment="1">
      <alignment horizontal="left"/>
    </xf>
    <xf numFmtId="0" fontId="1" fillId="0" borderId="15" xfId="0" applyFont="1" applyFill="1" applyBorder="1"/>
    <xf numFmtId="0" fontId="0" fillId="0" borderId="0" xfId="0" applyFill="1" applyBorder="1" applyAlignment="1">
      <alignment horizontal="right"/>
    </xf>
    <xf numFmtId="0" fontId="2" fillId="0" borderId="0" xfId="0" applyFont="1"/>
    <xf numFmtId="0" fontId="0" fillId="12" borderId="12" xfId="0" applyFill="1" applyBorder="1"/>
    <xf numFmtId="0" fontId="0" fillId="12" borderId="14" xfId="0" applyFill="1" applyBorder="1" applyAlignment="1">
      <alignment horizontal="center"/>
    </xf>
    <xf numFmtId="0" fontId="0" fillId="12" borderId="17" xfId="0" applyFill="1" applyBorder="1"/>
    <xf numFmtId="0" fontId="0" fillId="12" borderId="19" xfId="0" applyFill="1" applyBorder="1"/>
    <xf numFmtId="0" fontId="0" fillId="12" borderId="0" xfId="0" applyFill="1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12" borderId="11" xfId="0" applyFill="1" applyBorder="1" applyAlignment="1">
      <alignment horizontal="left"/>
    </xf>
    <xf numFmtId="0" fontId="6" fillId="14" borderId="0" xfId="0" applyFont="1" applyFill="1"/>
    <xf numFmtId="0" fontId="0" fillId="0" borderId="1" xfId="0" applyFill="1" applyBorder="1" applyAlignment="1" applyProtection="1">
      <alignment horizontal="left"/>
      <protection locked="0"/>
    </xf>
    <xf numFmtId="0" fontId="0" fillId="10" borderId="1" xfId="0" applyFill="1" applyBorder="1" applyAlignment="1" applyProtection="1">
      <alignment horizontal="left"/>
      <protection locked="0"/>
    </xf>
    <xf numFmtId="0" fontId="0" fillId="12" borderId="23" xfId="0" applyFill="1" applyBorder="1" applyAlignment="1" applyProtection="1">
      <alignment horizontal="left"/>
      <protection locked="0"/>
    </xf>
    <xf numFmtId="14" fontId="0" fillId="12" borderId="11" xfId="0" applyNumberFormat="1" applyFill="1" applyBorder="1" applyAlignment="1" applyProtection="1">
      <alignment horizontal="left"/>
      <protection locked="0"/>
    </xf>
    <xf numFmtId="164" fontId="0" fillId="10" borderId="1" xfId="0" applyNumberFormat="1" applyFill="1" applyBorder="1" applyAlignment="1" applyProtection="1">
      <alignment horizontal="left"/>
      <protection locked="0"/>
    </xf>
    <xf numFmtId="0" fontId="0" fillId="3" borderId="11" xfId="0" applyFill="1" applyBorder="1" applyAlignment="1" applyProtection="1">
      <alignment horizontal="left"/>
      <protection locked="0"/>
    </xf>
    <xf numFmtId="0" fontId="0" fillId="4" borderId="11" xfId="0" applyFill="1" applyBorder="1" applyAlignment="1" applyProtection="1">
      <alignment horizontal="left"/>
      <protection locked="0"/>
    </xf>
    <xf numFmtId="0" fontId="0" fillId="0" borderId="6" xfId="0" applyFill="1" applyBorder="1" applyAlignment="1">
      <alignment wrapText="1"/>
    </xf>
    <xf numFmtId="14" fontId="0" fillId="0" borderId="0" xfId="0" applyNumberFormat="1"/>
    <xf numFmtId="0" fontId="0" fillId="12" borderId="24" xfId="0" applyFill="1" applyBorder="1"/>
    <xf numFmtId="0" fontId="4" fillId="12" borderId="25" xfId="0" applyFont="1" applyFill="1" applyBorder="1" applyAlignment="1" applyProtection="1">
      <alignment horizontal="center"/>
      <protection locked="0"/>
    </xf>
    <xf numFmtId="0" fontId="0" fillId="12" borderId="0" xfId="0" applyFill="1"/>
    <xf numFmtId="0" fontId="0" fillId="14" borderId="2" xfId="0" applyFill="1" applyBorder="1"/>
    <xf numFmtId="0" fontId="0" fillId="7" borderId="20" xfId="0" applyFill="1" applyBorder="1"/>
    <xf numFmtId="0" fontId="0" fillId="6" borderId="0" xfId="0" applyFill="1"/>
    <xf numFmtId="0" fontId="0" fillId="8" borderId="0" xfId="0" applyFill="1"/>
    <xf numFmtId="0" fontId="0" fillId="15" borderId="0" xfId="0" applyFill="1"/>
    <xf numFmtId="0" fontId="0" fillId="13" borderId="0" xfId="0" applyFill="1"/>
    <xf numFmtId="0" fontId="0" fillId="16" borderId="0" xfId="0" applyFill="1"/>
    <xf numFmtId="0" fontId="0" fillId="11" borderId="0" xfId="0" applyFill="1"/>
    <xf numFmtId="0" fontId="0" fillId="0" borderId="1" xfId="0" applyBorder="1" applyProtection="1">
      <protection locked="0"/>
    </xf>
    <xf numFmtId="16" fontId="0" fillId="0" borderId="6" xfId="0" applyNumberFormat="1" applyBorder="1"/>
    <xf numFmtId="42" fontId="0" fillId="0" borderId="4" xfId="0" applyNumberFormat="1" applyFill="1" applyBorder="1"/>
    <xf numFmtId="42" fontId="0" fillId="0" borderId="0" xfId="0" applyNumberFormat="1"/>
    <xf numFmtId="42" fontId="0" fillId="0" borderId="6" xfId="0" applyNumberFormat="1" applyBorder="1"/>
    <xf numFmtId="0" fontId="0" fillId="11" borderId="11" xfId="0" applyFill="1" applyBorder="1" applyAlignment="1" applyProtection="1">
      <alignment horizontal="left"/>
      <protection locked="0"/>
    </xf>
    <xf numFmtId="0" fontId="0" fillId="13" borderId="11" xfId="0" applyFill="1" applyBorder="1" applyAlignment="1" applyProtection="1">
      <alignment horizontal="left"/>
      <protection locked="0"/>
    </xf>
    <xf numFmtId="0" fontId="0" fillId="6" borderId="11" xfId="0" applyFill="1" applyBorder="1" applyAlignment="1" applyProtection="1">
      <alignment horizontal="left"/>
      <protection locked="0"/>
    </xf>
    <xf numFmtId="0" fontId="0" fillId="7" borderId="11" xfId="0" applyFill="1" applyBorder="1" applyAlignment="1" applyProtection="1">
      <alignment horizontal="left"/>
      <protection locked="0"/>
    </xf>
    <xf numFmtId="0" fontId="0" fillId="5" borderId="11" xfId="0" applyFill="1" applyBorder="1" applyAlignment="1" applyProtection="1">
      <alignment horizontal="left"/>
      <protection locked="0"/>
    </xf>
    <xf numFmtId="0" fontId="0" fillId="2" borderId="11" xfId="0" applyFill="1" applyBorder="1" applyAlignment="1" applyProtection="1">
      <alignment horizontal="left"/>
      <protection locked="0"/>
    </xf>
    <xf numFmtId="0" fontId="0" fillId="8" borderId="11" xfId="0" applyFill="1" applyBorder="1" applyAlignment="1" applyProtection="1">
      <alignment horizontal="left"/>
      <protection locked="0"/>
    </xf>
  </cellXfs>
  <cellStyles count="1">
    <cellStyle name="Standard" xfId="0" builtinId="0"/>
  </cellStyles>
  <dxfs count="102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CCCC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9525</xdr:rowOff>
        </xdr:from>
        <xdr:to>
          <xdr:col>9</xdr:col>
          <xdr:colOff>9525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Speichern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Z994"/>
  <sheetViews>
    <sheetView showGridLines="0" tabSelected="1" view="pageBreakPreview" topLeftCell="A6" zoomScaleSheetLayoutView="100" workbookViewId="0">
      <selection activeCell="E31" sqref="E31"/>
    </sheetView>
  </sheetViews>
  <sheetFormatPr baseColWidth="10" defaultRowHeight="15" x14ac:dyDescent="0.25"/>
  <cols>
    <col min="1" max="1" width="5.7109375" style="84" customWidth="1"/>
    <col min="2" max="2" width="3.7109375" customWidth="1"/>
    <col min="3" max="3" width="0.85546875" customWidth="1"/>
    <col min="4" max="4" width="36.7109375" customWidth="1"/>
    <col min="5" max="5" width="26.85546875" customWidth="1"/>
    <col min="6" max="6" width="2.5703125" customWidth="1"/>
    <col min="7" max="7" width="24.7109375" customWidth="1"/>
    <col min="8" max="8" width="2" customWidth="1"/>
    <col min="9" max="9" width="24.7109375" customWidth="1"/>
    <col min="10" max="10" width="2" customWidth="1"/>
    <col min="11" max="11" width="24.7109375" customWidth="1"/>
    <col min="12" max="12" width="1.85546875" customWidth="1"/>
    <col min="13" max="13" width="24.7109375" style="3" customWidth="1"/>
    <col min="14" max="14" width="1.7109375" style="3" customWidth="1"/>
    <col min="15" max="15" width="3.7109375" customWidth="1"/>
    <col min="16" max="104" width="11.42578125" style="84"/>
  </cols>
  <sheetData>
    <row r="1" spans="2:17" s="84" customFormat="1" ht="20.100000000000001" customHeight="1" thickBot="1" x14ac:dyDescent="0.3">
      <c r="M1" s="53"/>
      <c r="N1" s="53"/>
    </row>
    <row r="2" spans="2:17" ht="15" customHeight="1" thickBot="1" x14ac:dyDescent="0.3">
      <c r="B2" s="31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3"/>
    </row>
    <row r="3" spans="2:17" ht="15" customHeight="1" x14ac:dyDescent="0.35">
      <c r="B3" s="35"/>
      <c r="C3" s="93" t="s">
        <v>260</v>
      </c>
      <c r="F3" s="3"/>
      <c r="G3" s="3"/>
      <c r="H3" s="3"/>
      <c r="I3" s="3"/>
      <c r="J3" s="3"/>
      <c r="K3" s="74" t="s">
        <v>134</v>
      </c>
      <c r="L3" s="75"/>
      <c r="M3" s="104"/>
      <c r="N3" s="76"/>
      <c r="O3" s="34"/>
    </row>
    <row r="4" spans="2:17" ht="15" customHeight="1" thickBot="1" x14ac:dyDescent="0.3">
      <c r="B4" s="35"/>
      <c r="C4" s="3"/>
      <c r="D4" s="3"/>
      <c r="E4" s="3"/>
      <c r="F4" s="3"/>
      <c r="H4" s="39"/>
      <c r="I4" s="39"/>
      <c r="J4" s="3"/>
      <c r="K4" s="77" t="s">
        <v>135</v>
      </c>
      <c r="L4" s="45"/>
      <c r="M4" s="105"/>
      <c r="N4" s="46"/>
      <c r="O4" s="34"/>
      <c r="Q4" s="101">
        <f>COUNTA(M3,M4,E13,E15,E17,E21,E23,E25,E27,E29,E31,E33,E37,E39,E41,E47,E61,E63,E65,E67,E69,#REF!,E71,E79,E81,#REF!,E83,#REF!,G79,G81,#REF!,G83,#REF!,I79,I81,#REF!,I83,#REF!,K79,K81,#REF!,K83,#REF!,E87,I87,E94,E96,#REF!,G94,G96,#REF!,I94,I96,#REF!,K94,K96,#REF!,E98,G98,I98,K98,I100,E100)</f>
        <v>25</v>
      </c>
    </row>
    <row r="5" spans="2:17" ht="15" customHeight="1" x14ac:dyDescent="0.25">
      <c r="B5" s="35"/>
      <c r="C5" s="94"/>
      <c r="D5" s="75" t="s">
        <v>222</v>
      </c>
      <c r="E5" s="95">
        <f>COUNTA(E13,E15,E21,E23,E25,E27,#REF!,E29,E31,E33,M3,M4,E37,E39,E41,E47,E49,E51,E61,E63,E65,E67,E69,E71,E79,E81,#REF!,E83,#REF!,G79,G81,#REF!,G83,#REF!,I79,I81,#REF!,I83,#REF!,K79,K81,#REF!,K83,#REF!,E87,I87,E94,E96,#REF!,G94,G96,#REF!,I94,I96,#REF!,K94,K96,#REF!,E98,G98,I98,K98,E100,I100)</f>
        <v>25</v>
      </c>
      <c r="F5" s="3"/>
      <c r="G5" s="3"/>
      <c r="H5" s="3"/>
      <c r="I5" s="112" t="s">
        <v>278</v>
      </c>
      <c r="J5" s="3"/>
      <c r="K5" s="77" t="s">
        <v>254</v>
      </c>
      <c r="L5" s="45"/>
      <c r="M5" s="78">
        <f ca="1">TODAY()</f>
        <v>42979</v>
      </c>
      <c r="N5" s="79"/>
      <c r="O5" s="34"/>
    </row>
    <row r="6" spans="2:17" ht="6.75" customHeight="1" thickBot="1" x14ac:dyDescent="0.3">
      <c r="B6" s="35"/>
      <c r="C6" s="96"/>
      <c r="D6" s="81"/>
      <c r="E6" s="97"/>
      <c r="F6" s="3"/>
      <c r="G6" s="3"/>
      <c r="H6" s="3"/>
      <c r="I6" s="111"/>
      <c r="J6" s="3"/>
      <c r="K6" s="80"/>
      <c r="L6" s="81"/>
      <c r="M6" s="82"/>
      <c r="N6" s="83"/>
      <c r="O6" s="34"/>
    </row>
    <row r="7" spans="2:17" ht="15" customHeight="1" thickBot="1" x14ac:dyDescent="0.3">
      <c r="B7" s="35"/>
      <c r="C7" s="3"/>
      <c r="D7" s="3"/>
      <c r="E7" s="3"/>
      <c r="F7" s="3"/>
      <c r="G7" s="3"/>
      <c r="H7" s="3"/>
      <c r="I7" s="3"/>
      <c r="J7" s="3"/>
      <c r="K7" s="92"/>
      <c r="L7" s="39"/>
      <c r="M7" s="90"/>
      <c r="N7" s="90"/>
      <c r="O7" s="34"/>
    </row>
    <row r="8" spans="2:17" ht="6.75" customHeight="1" thickBot="1" x14ac:dyDescent="0.3">
      <c r="B8" s="85"/>
      <c r="C8" s="85"/>
      <c r="D8" s="85"/>
      <c r="E8" s="85"/>
      <c r="F8" s="85"/>
      <c r="G8" s="85"/>
      <c r="H8" s="85"/>
      <c r="I8" s="85"/>
      <c r="J8" s="85"/>
      <c r="K8" s="86"/>
      <c r="L8" s="85"/>
      <c r="M8" s="87"/>
      <c r="N8" s="87"/>
      <c r="O8" s="85"/>
    </row>
    <row r="9" spans="2:17" ht="15" customHeight="1" x14ac:dyDescent="0.25">
      <c r="B9" s="35"/>
      <c r="C9" s="3"/>
      <c r="D9" s="3"/>
      <c r="E9" s="3"/>
      <c r="F9" s="3"/>
      <c r="G9" s="3"/>
      <c r="H9" s="3"/>
      <c r="I9" s="3"/>
      <c r="J9" s="3"/>
      <c r="K9" s="39"/>
      <c r="L9" s="39"/>
      <c r="M9" s="90"/>
      <c r="N9" s="90"/>
      <c r="O9" s="34"/>
    </row>
    <row r="10" spans="2:17" ht="15" customHeight="1" x14ac:dyDescent="0.35">
      <c r="B10" s="35"/>
      <c r="C10" s="3"/>
      <c r="D10" s="57" t="s">
        <v>0</v>
      </c>
      <c r="E10" s="3"/>
      <c r="F10" s="3"/>
      <c r="G10" s="3"/>
      <c r="H10" s="3"/>
      <c r="I10" s="3"/>
      <c r="J10" s="3"/>
      <c r="K10" s="3"/>
      <c r="L10" s="3"/>
      <c r="N10" s="69"/>
      <c r="O10" s="34"/>
    </row>
    <row r="11" spans="2:17" ht="6.75" customHeight="1" x14ac:dyDescent="0.35">
      <c r="B11" s="35"/>
      <c r="C11" s="3"/>
      <c r="D11" s="57"/>
      <c r="E11" s="3"/>
      <c r="F11" s="3"/>
      <c r="G11" s="3"/>
      <c r="H11" s="3"/>
      <c r="I11" s="3"/>
      <c r="J11" s="3"/>
      <c r="K11" s="3"/>
      <c r="L11" s="3"/>
      <c r="N11" s="69"/>
      <c r="O11" s="34"/>
    </row>
    <row r="12" spans="2:17" x14ac:dyDescent="0.25">
      <c r="B12" s="35"/>
      <c r="C12" s="53"/>
      <c r="D12" s="53"/>
      <c r="E12" s="53"/>
      <c r="F12" s="53"/>
      <c r="G12" s="53" t="s">
        <v>10</v>
      </c>
      <c r="H12" s="53"/>
      <c r="I12" s="53"/>
      <c r="J12" s="53"/>
      <c r="K12" s="53"/>
      <c r="L12" s="53"/>
      <c r="M12" s="53"/>
      <c r="N12" s="53"/>
      <c r="O12" s="34"/>
    </row>
    <row r="13" spans="2:17" x14ac:dyDescent="0.25">
      <c r="B13" s="35"/>
      <c r="C13" s="53"/>
      <c r="D13" s="26" t="s">
        <v>1</v>
      </c>
      <c r="E13" s="102"/>
      <c r="F13" s="26"/>
      <c r="G13" s="131"/>
      <c r="H13" s="131"/>
      <c r="I13" s="131"/>
      <c r="J13" s="131"/>
      <c r="K13" s="131"/>
      <c r="L13" s="131"/>
      <c r="M13" s="131"/>
      <c r="N13" s="52"/>
      <c r="O13" s="40"/>
    </row>
    <row r="14" spans="2:17" ht="6" customHeight="1" x14ac:dyDescent="0.25">
      <c r="B14" s="35"/>
      <c r="C14" s="53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40"/>
    </row>
    <row r="15" spans="2:17" x14ac:dyDescent="0.25">
      <c r="B15" s="35"/>
      <c r="C15" s="53"/>
      <c r="D15" s="26" t="s">
        <v>2</v>
      </c>
      <c r="E15" s="103"/>
      <c r="F15" s="26"/>
      <c r="G15" s="131"/>
      <c r="H15" s="131"/>
      <c r="I15" s="131"/>
      <c r="J15" s="131"/>
      <c r="K15" s="131"/>
      <c r="L15" s="131"/>
      <c r="M15" s="131"/>
      <c r="N15" s="52"/>
      <c r="O15" s="40"/>
    </row>
    <row r="16" spans="2:17" ht="7.5" customHeight="1" x14ac:dyDescent="0.25">
      <c r="B16" s="35"/>
      <c r="C16" s="53"/>
      <c r="D16" s="26"/>
      <c r="E16" s="53"/>
      <c r="F16" s="26"/>
      <c r="G16" s="52"/>
      <c r="H16" s="52"/>
      <c r="I16" s="52"/>
      <c r="J16" s="52"/>
      <c r="K16" s="52"/>
      <c r="L16" s="52"/>
      <c r="M16" s="52"/>
      <c r="N16" s="52"/>
      <c r="O16" s="40"/>
    </row>
    <row r="17" spans="2:15" x14ac:dyDescent="0.25">
      <c r="B17" s="35"/>
      <c r="C17" s="53"/>
      <c r="D17" s="26" t="s">
        <v>221</v>
      </c>
      <c r="E17" s="103"/>
      <c r="F17" s="26"/>
      <c r="G17" s="131"/>
      <c r="H17" s="131"/>
      <c r="I17" s="131"/>
      <c r="J17" s="131"/>
      <c r="K17" s="131"/>
      <c r="L17" s="131"/>
      <c r="M17" s="131"/>
      <c r="N17" s="52"/>
      <c r="O17" s="40"/>
    </row>
    <row r="18" spans="2:15" ht="6.75" customHeight="1" x14ac:dyDescent="0.25">
      <c r="B18" s="35"/>
      <c r="C18" s="53"/>
      <c r="D18" s="53"/>
      <c r="E18" s="53"/>
      <c r="F18" s="53"/>
      <c r="G18" s="68"/>
      <c r="H18" s="68"/>
      <c r="I18" s="68"/>
      <c r="J18" s="68"/>
      <c r="K18" s="68"/>
      <c r="L18" s="68"/>
      <c r="M18" s="68"/>
      <c r="N18" s="68"/>
      <c r="O18" s="40"/>
    </row>
    <row r="19" spans="2:15" ht="15" customHeight="1" x14ac:dyDescent="0.25">
      <c r="B19" s="35"/>
      <c r="C19" s="3"/>
      <c r="D19" s="3"/>
      <c r="E19" s="3"/>
      <c r="F19" s="3"/>
      <c r="G19" s="3"/>
      <c r="H19" s="3"/>
      <c r="I19" s="3"/>
      <c r="J19" s="3"/>
      <c r="K19" s="3"/>
      <c r="L19" s="3"/>
      <c r="O19" s="40"/>
    </row>
    <row r="20" spans="2:15" ht="15" customHeight="1" x14ac:dyDescent="0.25">
      <c r="B20" s="35"/>
      <c r="C20" s="29"/>
      <c r="D20" s="29"/>
      <c r="E20" s="29"/>
      <c r="F20" s="29"/>
      <c r="G20" s="29" t="s">
        <v>10</v>
      </c>
      <c r="H20" s="29"/>
      <c r="I20" s="29"/>
      <c r="J20" s="29"/>
      <c r="K20" s="29"/>
      <c r="L20" s="29"/>
      <c r="M20" s="29"/>
      <c r="N20" s="29"/>
      <c r="O20" s="40"/>
    </row>
    <row r="21" spans="2:15" x14ac:dyDescent="0.25">
      <c r="B21" s="35"/>
      <c r="C21" s="29"/>
      <c r="D21" s="29" t="s">
        <v>259</v>
      </c>
      <c r="E21" s="122"/>
      <c r="F21" s="29"/>
      <c r="G21" s="130"/>
      <c r="H21" s="130"/>
      <c r="I21" s="130"/>
      <c r="J21" s="130"/>
      <c r="K21" s="130"/>
      <c r="L21" s="130"/>
      <c r="M21" s="130"/>
      <c r="N21" s="70"/>
      <c r="O21" s="40"/>
    </row>
    <row r="22" spans="2:15" ht="6.75" customHeight="1" x14ac:dyDescent="0.25">
      <c r="B22" s="35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70"/>
      <c r="O22" s="40"/>
    </row>
    <row r="23" spans="2:15" x14ac:dyDescent="0.25">
      <c r="B23" s="35"/>
      <c r="C23" s="29"/>
      <c r="D23" s="29" t="s">
        <v>196</v>
      </c>
      <c r="E23" s="102"/>
      <c r="F23" s="29"/>
      <c r="G23" s="130"/>
      <c r="H23" s="130"/>
      <c r="I23" s="130"/>
      <c r="J23" s="130"/>
      <c r="K23" s="130"/>
      <c r="L23" s="130"/>
      <c r="M23" s="130"/>
      <c r="N23" s="70"/>
      <c r="O23" s="40"/>
    </row>
    <row r="24" spans="2:15" ht="6.75" customHeight="1" x14ac:dyDescent="0.25">
      <c r="B24" s="35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70"/>
      <c r="O24" s="40"/>
    </row>
    <row r="25" spans="2:15" x14ac:dyDescent="0.25">
      <c r="B25" s="35"/>
      <c r="C25" s="29"/>
      <c r="D25" s="29" t="s">
        <v>197</v>
      </c>
      <c r="E25" s="103"/>
      <c r="F25" s="29"/>
      <c r="G25" s="130"/>
      <c r="H25" s="130"/>
      <c r="I25" s="130"/>
      <c r="J25" s="130"/>
      <c r="K25" s="130"/>
      <c r="L25" s="130"/>
      <c r="M25" s="130"/>
      <c r="N25" s="70"/>
      <c r="O25" s="40"/>
    </row>
    <row r="26" spans="2:15" ht="6.75" customHeight="1" x14ac:dyDescent="0.25">
      <c r="B26" s="35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40"/>
    </row>
    <row r="27" spans="2:15" x14ac:dyDescent="0.25">
      <c r="B27" s="35"/>
      <c r="C27" s="29"/>
      <c r="D27" s="29" t="s">
        <v>198</v>
      </c>
      <c r="E27" s="102"/>
      <c r="F27" s="29"/>
      <c r="G27" s="130"/>
      <c r="H27" s="130"/>
      <c r="I27" s="130"/>
      <c r="J27" s="130"/>
      <c r="K27" s="130"/>
      <c r="L27" s="130"/>
      <c r="M27" s="130"/>
      <c r="N27" s="70"/>
      <c r="O27" s="40"/>
    </row>
    <row r="28" spans="2:15" ht="6.75" customHeight="1" x14ac:dyDescent="0.25">
      <c r="B28" s="35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40"/>
    </row>
    <row r="29" spans="2:15" x14ac:dyDescent="0.25">
      <c r="B29" s="35"/>
      <c r="C29" s="29"/>
      <c r="D29" s="29" t="s">
        <v>252</v>
      </c>
      <c r="E29" s="106"/>
      <c r="F29" s="29"/>
      <c r="G29" s="130"/>
      <c r="H29" s="130"/>
      <c r="I29" s="130"/>
      <c r="J29" s="130"/>
      <c r="K29" s="130"/>
      <c r="L29" s="130"/>
      <c r="M29" s="130"/>
      <c r="N29" s="70"/>
      <c r="O29" s="40"/>
    </row>
    <row r="30" spans="2:15" ht="6.75" customHeight="1" x14ac:dyDescent="0.25">
      <c r="B30" s="35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40"/>
    </row>
    <row r="31" spans="2:15" x14ac:dyDescent="0.25">
      <c r="B31" s="35"/>
      <c r="C31" s="29"/>
      <c r="D31" s="29" t="s">
        <v>11</v>
      </c>
      <c r="E31" s="102"/>
      <c r="F31" s="29"/>
      <c r="G31" s="130"/>
      <c r="H31" s="130"/>
      <c r="I31" s="130"/>
      <c r="J31" s="130"/>
      <c r="K31" s="130"/>
      <c r="L31" s="130"/>
      <c r="M31" s="130"/>
      <c r="N31" s="70"/>
      <c r="O31" s="40"/>
    </row>
    <row r="32" spans="2:15" ht="6.75" customHeight="1" x14ac:dyDescent="0.25">
      <c r="B32" s="35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40"/>
    </row>
    <row r="33" spans="2:15" x14ac:dyDescent="0.25">
      <c r="B33" s="35"/>
      <c r="C33" s="29"/>
      <c r="D33" s="29" t="s">
        <v>258</v>
      </c>
      <c r="E33" s="102"/>
      <c r="F33" s="29"/>
      <c r="G33" s="130"/>
      <c r="H33" s="130"/>
      <c r="I33" s="130"/>
      <c r="J33" s="130"/>
      <c r="K33" s="130"/>
      <c r="L33" s="130"/>
      <c r="M33" s="130"/>
      <c r="N33" s="70"/>
      <c r="O33" s="40"/>
    </row>
    <row r="34" spans="2:15" ht="6.75" customHeight="1" x14ac:dyDescent="0.25">
      <c r="B34" s="35"/>
      <c r="C34" s="29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40"/>
    </row>
    <row r="35" spans="2:15" x14ac:dyDescent="0.25">
      <c r="B35" s="35"/>
      <c r="C35" s="3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40"/>
    </row>
    <row r="36" spans="2:15" ht="15" customHeight="1" x14ac:dyDescent="0.25">
      <c r="B36" s="35"/>
      <c r="C36" s="30"/>
      <c r="D36" s="30"/>
      <c r="E36" s="30"/>
      <c r="F36" s="30"/>
      <c r="G36" s="30" t="s">
        <v>10</v>
      </c>
      <c r="H36" s="30"/>
      <c r="I36" s="30"/>
      <c r="J36" s="30"/>
      <c r="K36" s="30"/>
      <c r="L36" s="30"/>
      <c r="M36" s="30"/>
      <c r="N36" s="30"/>
      <c r="O36" s="40"/>
    </row>
    <row r="37" spans="2:15" x14ac:dyDescent="0.25">
      <c r="B37" s="35"/>
      <c r="C37" s="30"/>
      <c r="D37" s="30" t="s">
        <v>253</v>
      </c>
      <c r="E37" s="102"/>
      <c r="F37" s="30"/>
      <c r="G37" s="133"/>
      <c r="H37" s="133"/>
      <c r="I37" s="133"/>
      <c r="J37" s="133"/>
      <c r="K37" s="133"/>
      <c r="L37" s="133"/>
      <c r="M37" s="133"/>
      <c r="N37" s="71"/>
      <c r="O37" s="40"/>
    </row>
    <row r="38" spans="2:15" ht="6.75" customHeight="1" x14ac:dyDescent="0.25">
      <c r="B38" s="35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40"/>
    </row>
    <row r="39" spans="2:15" x14ac:dyDescent="0.25">
      <c r="B39" s="35"/>
      <c r="C39" s="30"/>
      <c r="D39" s="30" t="s">
        <v>521</v>
      </c>
      <c r="E39" s="103"/>
      <c r="F39" s="30"/>
      <c r="G39" s="133"/>
      <c r="H39" s="133"/>
      <c r="I39" s="133"/>
      <c r="J39" s="133"/>
      <c r="K39" s="133"/>
      <c r="L39" s="133"/>
      <c r="M39" s="133"/>
      <c r="N39" s="71"/>
      <c r="O39" s="40"/>
    </row>
    <row r="40" spans="2:15" ht="6.75" customHeight="1" x14ac:dyDescent="0.25">
      <c r="B40" s="35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40"/>
    </row>
    <row r="41" spans="2:15" x14ac:dyDescent="0.25">
      <c r="B41" s="35"/>
      <c r="C41" s="30"/>
      <c r="D41" s="37" t="s">
        <v>21</v>
      </c>
      <c r="E41" s="103"/>
      <c r="F41" s="30"/>
      <c r="G41" s="133"/>
      <c r="H41" s="133"/>
      <c r="I41" s="133"/>
      <c r="J41" s="133"/>
      <c r="K41" s="133"/>
      <c r="L41" s="133"/>
      <c r="M41" s="133"/>
      <c r="N41" s="30"/>
      <c r="O41" s="40"/>
    </row>
    <row r="42" spans="2:15" ht="6.75" customHeight="1" x14ac:dyDescent="0.25">
      <c r="B42" s="35"/>
      <c r="C42" s="30"/>
      <c r="D42" s="37"/>
      <c r="E42" s="37"/>
      <c r="F42" s="30"/>
      <c r="G42" s="30"/>
      <c r="H42" s="30"/>
      <c r="I42" s="30"/>
      <c r="J42" s="30"/>
      <c r="K42" s="30"/>
      <c r="L42" s="30"/>
      <c r="M42" s="30"/>
      <c r="N42" s="30"/>
      <c r="O42" s="40"/>
    </row>
    <row r="43" spans="2:15" x14ac:dyDescent="0.25">
      <c r="B43" s="35"/>
      <c r="C43" s="30"/>
      <c r="D43" s="56" t="s">
        <v>137</v>
      </c>
      <c r="E43" s="103"/>
      <c r="F43" s="30"/>
      <c r="G43" s="133"/>
      <c r="H43" s="133"/>
      <c r="I43" s="133"/>
      <c r="J43" s="133"/>
      <c r="K43" s="133"/>
      <c r="L43" s="133"/>
      <c r="M43" s="133"/>
      <c r="N43" s="71"/>
      <c r="O43" s="40"/>
    </row>
    <row r="44" spans="2:15" ht="6.75" customHeight="1" x14ac:dyDescent="0.25">
      <c r="B44" s="35"/>
      <c r="C44" s="30"/>
      <c r="D44" s="37"/>
      <c r="E44" s="37"/>
      <c r="F44" s="30"/>
      <c r="G44" s="30"/>
      <c r="H44" s="30"/>
      <c r="I44" s="30"/>
      <c r="J44" s="30"/>
      <c r="K44" s="30"/>
      <c r="L44" s="30"/>
      <c r="M44" s="30"/>
      <c r="N44" s="30"/>
      <c r="O44" s="40"/>
    </row>
    <row r="45" spans="2:15" x14ac:dyDescent="0.25">
      <c r="B45" s="35"/>
      <c r="C45" s="30"/>
      <c r="D45" s="37"/>
      <c r="E45" s="103"/>
      <c r="F45" s="30"/>
      <c r="G45" s="133"/>
      <c r="H45" s="133"/>
      <c r="I45" s="133"/>
      <c r="J45" s="133"/>
      <c r="K45" s="133"/>
      <c r="L45" s="133"/>
      <c r="M45" s="133"/>
      <c r="N45" s="71"/>
      <c r="O45" s="40"/>
    </row>
    <row r="46" spans="2:15" ht="6.75" customHeight="1" x14ac:dyDescent="0.25">
      <c r="B46" s="35"/>
      <c r="C46" s="30"/>
      <c r="D46" s="37"/>
      <c r="E46" s="37"/>
      <c r="F46" s="30"/>
      <c r="G46" s="30"/>
      <c r="H46" s="30"/>
      <c r="I46" s="30"/>
      <c r="J46" s="30"/>
      <c r="K46" s="30"/>
      <c r="L46" s="30"/>
      <c r="M46" s="30"/>
      <c r="N46" s="30"/>
      <c r="O46" s="40"/>
    </row>
    <row r="47" spans="2:15" ht="15" customHeight="1" x14ac:dyDescent="0.25">
      <c r="B47" s="35"/>
      <c r="C47" s="30"/>
      <c r="D47" s="37" t="s">
        <v>200</v>
      </c>
      <c r="E47" s="103"/>
      <c r="F47" s="30"/>
      <c r="G47" s="133"/>
      <c r="H47" s="133"/>
      <c r="I47" s="133"/>
      <c r="J47" s="133"/>
      <c r="K47" s="133"/>
      <c r="L47" s="133"/>
      <c r="M47" s="133"/>
      <c r="N47" s="30"/>
      <c r="O47" s="40"/>
    </row>
    <row r="48" spans="2:15" ht="6.75" customHeight="1" x14ac:dyDescent="0.25">
      <c r="B48" s="35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40"/>
    </row>
    <row r="49" spans="2:15" x14ac:dyDescent="0.25">
      <c r="B49" s="35"/>
      <c r="C49" s="30"/>
      <c r="D49" s="30" t="s">
        <v>139</v>
      </c>
      <c r="E49" s="103"/>
      <c r="F49" s="30"/>
      <c r="G49" s="133"/>
      <c r="H49" s="133"/>
      <c r="I49" s="133"/>
      <c r="J49" s="133"/>
      <c r="K49" s="133"/>
      <c r="L49" s="133"/>
      <c r="M49" s="133"/>
      <c r="N49" s="30"/>
      <c r="O49" s="40"/>
    </row>
    <row r="50" spans="2:15" ht="6.75" customHeight="1" x14ac:dyDescent="0.25">
      <c r="B50" s="35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40"/>
    </row>
    <row r="51" spans="2:15" x14ac:dyDescent="0.25">
      <c r="B51" s="35"/>
      <c r="C51" s="30"/>
      <c r="D51" s="30" t="s">
        <v>37</v>
      </c>
      <c r="E51" s="103"/>
      <c r="F51" s="30"/>
      <c r="G51" s="133"/>
      <c r="H51" s="133"/>
      <c r="I51" s="133"/>
      <c r="J51" s="133"/>
      <c r="K51" s="133"/>
      <c r="L51" s="133"/>
      <c r="M51" s="133"/>
      <c r="N51" s="71"/>
      <c r="O51" s="40"/>
    </row>
    <row r="52" spans="2:15" ht="6.75" customHeight="1" x14ac:dyDescent="0.25">
      <c r="B52" s="35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40"/>
    </row>
    <row r="53" spans="2:15" ht="15" customHeight="1" thickBot="1" x14ac:dyDescent="0.3">
      <c r="B53" s="38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40"/>
    </row>
    <row r="54" spans="2:15" ht="6.75" customHeight="1" thickBot="1" x14ac:dyDescent="0.3"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</row>
    <row r="55" spans="2:15" ht="15" customHeight="1" x14ac:dyDescent="0.25">
      <c r="B55" s="35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40"/>
    </row>
    <row r="56" spans="2:15" ht="15" customHeight="1" x14ac:dyDescent="0.35">
      <c r="B56" s="35"/>
      <c r="C56" s="3"/>
      <c r="D56" s="57" t="s">
        <v>47</v>
      </c>
      <c r="E56" s="3"/>
      <c r="F56" s="3"/>
      <c r="G56" s="3"/>
      <c r="H56" s="3"/>
      <c r="I56" s="3"/>
      <c r="J56" s="3"/>
      <c r="K56" s="3"/>
      <c r="L56" s="3"/>
      <c r="O56" s="40"/>
    </row>
    <row r="57" spans="2:15" ht="15" customHeight="1" x14ac:dyDescent="0.35">
      <c r="B57" s="35"/>
      <c r="C57" s="3"/>
      <c r="D57" s="57"/>
      <c r="E57" s="3"/>
      <c r="F57" s="3"/>
      <c r="G57" s="3"/>
      <c r="H57" s="3"/>
      <c r="I57" s="3"/>
      <c r="J57" s="3"/>
      <c r="K57" s="3"/>
      <c r="L57" s="3"/>
      <c r="O57" s="40"/>
    </row>
    <row r="58" spans="2:15" ht="6.75" customHeight="1" x14ac:dyDescent="0.3">
      <c r="B58" s="35"/>
      <c r="C58" s="58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40"/>
    </row>
    <row r="59" spans="2:15" ht="15" customHeight="1" x14ac:dyDescent="0.3">
      <c r="B59" s="35"/>
      <c r="C59" s="58"/>
      <c r="D59" s="58" t="s">
        <v>52</v>
      </c>
      <c r="E59" s="23"/>
      <c r="F59" s="23"/>
      <c r="G59" s="23" t="s">
        <v>10</v>
      </c>
      <c r="H59" s="23"/>
      <c r="I59" s="23"/>
      <c r="J59" s="23"/>
      <c r="K59" s="23"/>
      <c r="L59" s="23"/>
      <c r="M59" s="23"/>
      <c r="N59" s="23"/>
      <c r="O59" s="40"/>
    </row>
    <row r="60" spans="2:15" ht="6.75" customHeight="1" x14ac:dyDescent="0.3">
      <c r="B60" s="35"/>
      <c r="C60" s="58"/>
      <c r="D60" s="58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40"/>
    </row>
    <row r="61" spans="2:15" ht="15" customHeight="1" x14ac:dyDescent="0.3">
      <c r="B61" s="35"/>
      <c r="C61" s="58"/>
      <c r="D61" s="23" t="s">
        <v>41</v>
      </c>
      <c r="E61" s="103"/>
      <c r="F61" s="23"/>
      <c r="G61" s="132"/>
      <c r="H61" s="132"/>
      <c r="I61" s="132"/>
      <c r="J61" s="132"/>
      <c r="K61" s="132"/>
      <c r="L61" s="132"/>
      <c r="M61" s="132"/>
      <c r="N61" s="27"/>
      <c r="O61" s="40"/>
    </row>
    <row r="62" spans="2:15" ht="6.75" customHeight="1" x14ac:dyDescent="0.3">
      <c r="B62" s="35"/>
      <c r="C62" s="58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40"/>
    </row>
    <row r="63" spans="2:15" ht="15" customHeight="1" x14ac:dyDescent="0.3">
      <c r="B63" s="35"/>
      <c r="C63" s="58"/>
      <c r="D63" s="23" t="s">
        <v>48</v>
      </c>
      <c r="E63" s="103"/>
      <c r="F63" s="23"/>
      <c r="G63" s="132"/>
      <c r="H63" s="132"/>
      <c r="I63" s="132"/>
      <c r="J63" s="132"/>
      <c r="K63" s="132"/>
      <c r="L63" s="132"/>
      <c r="M63" s="132"/>
      <c r="N63" s="27"/>
      <c r="O63" s="40"/>
    </row>
    <row r="64" spans="2:15" ht="6.75" customHeight="1" x14ac:dyDescent="0.3">
      <c r="B64" s="35"/>
      <c r="C64" s="58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40"/>
    </row>
    <row r="65" spans="2:15" ht="15" customHeight="1" x14ac:dyDescent="0.3">
      <c r="B65" s="35"/>
      <c r="C65" s="58"/>
      <c r="D65" s="23" t="s">
        <v>59</v>
      </c>
      <c r="E65" s="103"/>
      <c r="F65" s="23"/>
      <c r="G65" s="132"/>
      <c r="H65" s="132"/>
      <c r="I65" s="132"/>
      <c r="J65" s="132"/>
      <c r="K65" s="132"/>
      <c r="L65" s="132"/>
      <c r="M65" s="132"/>
      <c r="N65" s="27"/>
      <c r="O65" s="40"/>
    </row>
    <row r="66" spans="2:15" ht="6.75" customHeight="1" x14ac:dyDescent="0.3">
      <c r="B66" s="35"/>
      <c r="C66" s="58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40"/>
    </row>
    <row r="67" spans="2:15" ht="15" customHeight="1" x14ac:dyDescent="0.3">
      <c r="B67" s="35"/>
      <c r="C67" s="58"/>
      <c r="D67" s="23" t="s">
        <v>53</v>
      </c>
      <c r="E67" s="103"/>
      <c r="F67" s="23"/>
      <c r="G67" s="132"/>
      <c r="H67" s="132"/>
      <c r="I67" s="132"/>
      <c r="J67" s="132"/>
      <c r="K67" s="132"/>
      <c r="L67" s="132"/>
      <c r="M67" s="132"/>
      <c r="N67" s="27"/>
      <c r="O67" s="40"/>
    </row>
    <row r="68" spans="2:15" ht="6.75" customHeight="1" x14ac:dyDescent="0.3">
      <c r="B68" s="35"/>
      <c r="C68" s="58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40"/>
    </row>
    <row r="69" spans="2:15" ht="15" customHeight="1" x14ac:dyDescent="0.3">
      <c r="B69" s="35"/>
      <c r="C69" s="58"/>
      <c r="D69" s="23" t="s">
        <v>264</v>
      </c>
      <c r="E69" s="103"/>
      <c r="F69" s="23"/>
      <c r="G69" s="132"/>
      <c r="H69" s="132"/>
      <c r="I69" s="132"/>
      <c r="J69" s="132"/>
      <c r="K69" s="132"/>
      <c r="L69" s="132"/>
      <c r="M69" s="132"/>
      <c r="N69" s="27"/>
      <c r="O69" s="40"/>
    </row>
    <row r="70" spans="2:15" ht="6.75" customHeight="1" x14ac:dyDescent="0.3">
      <c r="B70" s="35"/>
      <c r="C70" s="58"/>
      <c r="D70" s="23"/>
      <c r="E70" s="23"/>
      <c r="F70" s="23"/>
      <c r="G70" s="27"/>
      <c r="H70" s="27"/>
      <c r="I70" s="27"/>
      <c r="J70" s="27"/>
      <c r="K70" s="27"/>
      <c r="L70" s="27"/>
      <c r="M70" s="27"/>
      <c r="N70" s="27"/>
      <c r="O70" s="40"/>
    </row>
    <row r="71" spans="2:15" ht="15" customHeight="1" x14ac:dyDescent="0.3">
      <c r="B71" s="35"/>
      <c r="C71" s="58"/>
      <c r="D71" s="23" t="s">
        <v>76</v>
      </c>
      <c r="E71" s="103"/>
      <c r="F71" s="23"/>
      <c r="G71" s="132"/>
      <c r="H71" s="132"/>
      <c r="I71" s="132"/>
      <c r="J71" s="132"/>
      <c r="K71" s="132"/>
      <c r="L71" s="132"/>
      <c r="M71" s="132"/>
      <c r="N71" s="27"/>
      <c r="O71" s="40"/>
    </row>
    <row r="72" spans="2:15" ht="6.75" customHeight="1" x14ac:dyDescent="0.3">
      <c r="B72" s="35"/>
      <c r="C72" s="58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40"/>
    </row>
    <row r="73" spans="2:15" ht="6.75" customHeight="1" x14ac:dyDescent="0.3">
      <c r="B73" s="35"/>
      <c r="C73" s="8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40"/>
    </row>
    <row r="74" spans="2:15" ht="15" customHeight="1" x14ac:dyDescent="0.25">
      <c r="B74" s="35"/>
      <c r="C74" s="3"/>
      <c r="D74" s="3"/>
      <c r="E74" s="3"/>
      <c r="F74" s="3"/>
      <c r="G74" s="3"/>
      <c r="H74" s="3"/>
      <c r="I74" s="3"/>
      <c r="J74" s="3"/>
      <c r="K74" s="3"/>
      <c r="L74" s="3"/>
      <c r="O74" s="40"/>
    </row>
    <row r="75" spans="2:15" ht="6.75" customHeight="1" x14ac:dyDescent="0.3">
      <c r="B75" s="91"/>
      <c r="C75" s="59"/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40"/>
    </row>
    <row r="76" spans="2:15" ht="15" customHeight="1" x14ac:dyDescent="0.3">
      <c r="B76" s="35"/>
      <c r="C76" s="59"/>
      <c r="D76" s="59" t="s">
        <v>62</v>
      </c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40"/>
    </row>
    <row r="77" spans="2:15" ht="6.75" customHeight="1" x14ac:dyDescent="0.3">
      <c r="B77" s="35"/>
      <c r="C77" s="59"/>
      <c r="D77" s="59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40"/>
    </row>
    <row r="78" spans="2:15" ht="15" customHeight="1" x14ac:dyDescent="0.3">
      <c r="B78" s="35"/>
      <c r="C78" s="59"/>
      <c r="D78" s="24"/>
      <c r="E78" s="99" t="s">
        <v>66</v>
      </c>
      <c r="F78" s="99"/>
      <c r="G78" s="99" t="s">
        <v>67</v>
      </c>
      <c r="H78" s="99"/>
      <c r="I78" s="99" t="s">
        <v>68</v>
      </c>
      <c r="J78" s="99"/>
      <c r="K78" s="99" t="s">
        <v>69</v>
      </c>
      <c r="L78" s="24"/>
      <c r="M78" s="24" t="s">
        <v>10</v>
      </c>
      <c r="N78" s="24"/>
      <c r="O78" s="40"/>
    </row>
    <row r="79" spans="2:15" ht="15" customHeight="1" x14ac:dyDescent="0.3">
      <c r="B79" s="35"/>
      <c r="C79" s="59"/>
      <c r="D79" s="24" t="s">
        <v>59</v>
      </c>
      <c r="E79" s="103"/>
      <c r="F79" s="24"/>
      <c r="G79" s="103" t="str">
        <f>IF(E87="ja",E79,IF(E87="unbekannt","unbekannt",""))</f>
        <v/>
      </c>
      <c r="H79" s="24"/>
      <c r="I79" s="103"/>
      <c r="J79" s="24"/>
      <c r="K79" s="103" t="str">
        <f>IF(I87="ja",I79,IF(I87="unbekannt","unbekannt",""))</f>
        <v/>
      </c>
      <c r="L79" s="24"/>
      <c r="M79" s="107"/>
      <c r="N79" s="24"/>
      <c r="O79" s="40"/>
    </row>
    <row r="80" spans="2:15" ht="6.75" customHeight="1" x14ac:dyDescent="0.3">
      <c r="B80" s="35"/>
      <c r="C80" s="59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40"/>
    </row>
    <row r="81" spans="2:15" ht="15" customHeight="1" x14ac:dyDescent="0.3">
      <c r="B81" s="35"/>
      <c r="C81" s="59"/>
      <c r="D81" s="24" t="s">
        <v>77</v>
      </c>
      <c r="E81" s="103"/>
      <c r="F81" s="24"/>
      <c r="G81" s="103" t="str">
        <f>IF(E87="ja",E81,IF(E87="unbekannt","unbekannt",""))</f>
        <v/>
      </c>
      <c r="H81" s="24"/>
      <c r="I81" s="103"/>
      <c r="J81" s="24"/>
      <c r="K81" s="103" t="str">
        <f>IF(I87="ja",I81,IF(I87="unbekannt","unbekannt",""))</f>
        <v/>
      </c>
      <c r="L81" s="24"/>
      <c r="M81" s="107"/>
      <c r="N81" s="24"/>
      <c r="O81" s="40"/>
    </row>
    <row r="82" spans="2:15" ht="6.75" customHeight="1" x14ac:dyDescent="0.3">
      <c r="B82" s="35"/>
      <c r="C82" s="59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40"/>
    </row>
    <row r="83" spans="2:15" ht="15" customHeight="1" x14ac:dyDescent="0.3">
      <c r="B83" s="35"/>
      <c r="C83" s="59"/>
      <c r="D83" s="24" t="s">
        <v>55</v>
      </c>
      <c r="E83" s="103"/>
      <c r="F83" s="24"/>
      <c r="G83" s="103" t="str">
        <f>IF(E87="ja",E83,IF(E87="unbekannt","unbekannt",""))</f>
        <v/>
      </c>
      <c r="H83" s="24"/>
      <c r="I83" s="103"/>
      <c r="J83" s="24"/>
      <c r="K83" s="103" t="str">
        <f>IF(I87="ja",I83,IF(I87="unbekannt","unbekannt",""))</f>
        <v/>
      </c>
      <c r="L83" s="24"/>
      <c r="M83" s="107"/>
      <c r="N83" s="24"/>
      <c r="O83" s="40"/>
    </row>
    <row r="84" spans="2:15" ht="21" customHeight="1" x14ac:dyDescent="0.3">
      <c r="B84" s="35"/>
      <c r="C84" s="59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40"/>
    </row>
    <row r="85" spans="2:15" ht="15" customHeight="1" x14ac:dyDescent="0.3">
      <c r="B85" s="35"/>
      <c r="C85" s="59"/>
      <c r="D85" s="24" t="s">
        <v>263</v>
      </c>
      <c r="E85" s="103"/>
      <c r="F85" s="24"/>
      <c r="G85" s="103" t="str">
        <f>IF(E87="ja",E85,IF(E87="unbekannt","unbekannt",""))</f>
        <v/>
      </c>
      <c r="H85" s="24"/>
      <c r="I85" s="103"/>
      <c r="J85" s="24"/>
      <c r="K85" s="103" t="str">
        <f>IF(I87="ja",I85,IF(I87="unbekannt","unbekannt",""))</f>
        <v/>
      </c>
      <c r="L85" s="24"/>
      <c r="M85" s="107"/>
      <c r="N85" s="24"/>
      <c r="O85" s="40"/>
    </row>
    <row r="86" spans="2:15" ht="6" customHeight="1" x14ac:dyDescent="0.3">
      <c r="B86" s="35"/>
      <c r="C86" s="59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40"/>
    </row>
    <row r="87" spans="2:15" ht="15" customHeight="1" x14ac:dyDescent="0.3">
      <c r="B87" s="35"/>
      <c r="C87" s="59"/>
      <c r="D87" s="60" t="s">
        <v>257</v>
      </c>
      <c r="E87" s="103"/>
      <c r="F87" s="24"/>
      <c r="G87" s="24" t="s">
        <v>256</v>
      </c>
      <c r="H87" s="24"/>
      <c r="I87" s="103"/>
      <c r="J87" s="24"/>
      <c r="K87" s="24"/>
      <c r="L87" s="24"/>
      <c r="M87" s="99"/>
      <c r="N87" s="24"/>
      <c r="O87" s="40"/>
    </row>
    <row r="88" spans="2:15" ht="6.75" customHeight="1" x14ac:dyDescent="0.3">
      <c r="B88" s="35"/>
      <c r="C88" s="5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40"/>
    </row>
    <row r="89" spans="2:15" ht="15" customHeight="1" x14ac:dyDescent="0.25">
      <c r="B89" s="35"/>
      <c r="C89" s="3"/>
      <c r="D89" s="3"/>
      <c r="E89" s="3"/>
      <c r="F89" s="3"/>
      <c r="G89" s="3"/>
      <c r="H89" s="3"/>
      <c r="I89" s="3"/>
      <c r="J89" s="3"/>
      <c r="K89" s="3"/>
      <c r="L89" s="3"/>
      <c r="O89" s="40"/>
    </row>
    <row r="90" spans="2:15" ht="6.75" customHeight="1" x14ac:dyDescent="0.25">
      <c r="B90" s="3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40"/>
    </row>
    <row r="91" spans="2:15" ht="15" customHeight="1" x14ac:dyDescent="0.3">
      <c r="B91" s="35"/>
      <c r="C91" s="25"/>
      <c r="D91" s="61" t="s">
        <v>80</v>
      </c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40"/>
    </row>
    <row r="92" spans="2:15" ht="6.75" customHeight="1" x14ac:dyDescent="0.3">
      <c r="B92" s="35"/>
      <c r="C92" s="25"/>
      <c r="D92" s="61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40"/>
    </row>
    <row r="93" spans="2:15" ht="15" customHeight="1" x14ac:dyDescent="0.25">
      <c r="B93" s="35"/>
      <c r="C93" s="25"/>
      <c r="D93" s="62"/>
      <c r="E93" s="25" t="s">
        <v>66</v>
      </c>
      <c r="F93" s="25"/>
      <c r="G93" s="25" t="s">
        <v>67</v>
      </c>
      <c r="H93" s="25"/>
      <c r="I93" s="25" t="s">
        <v>68</v>
      </c>
      <c r="J93" s="25"/>
      <c r="K93" s="25" t="s">
        <v>69</v>
      </c>
      <c r="L93" s="25"/>
      <c r="M93" s="25" t="s">
        <v>10</v>
      </c>
      <c r="N93" s="25"/>
      <c r="O93" s="40"/>
    </row>
    <row r="94" spans="2:15" ht="15" customHeight="1" x14ac:dyDescent="0.25">
      <c r="B94" s="35"/>
      <c r="C94" s="25"/>
      <c r="D94" s="25" t="s">
        <v>59</v>
      </c>
      <c r="E94" s="103"/>
      <c r="F94" s="25"/>
      <c r="G94" s="103" t="str">
        <f>IF(E100="ja",E94,IF(E100="unbekannt","unbekannt",""))</f>
        <v/>
      </c>
      <c r="H94" s="25"/>
      <c r="I94" s="103"/>
      <c r="J94" s="25"/>
      <c r="K94" s="103" t="str">
        <f>IF(I100="ja",I94,IF(I100="unbekannt","unbekannt",""))</f>
        <v/>
      </c>
      <c r="L94" s="25"/>
      <c r="M94" s="108"/>
      <c r="N94" s="25"/>
      <c r="O94" s="40"/>
    </row>
    <row r="95" spans="2:15" ht="6.75" customHeight="1" x14ac:dyDescent="0.25">
      <c r="B95" s="3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40"/>
    </row>
    <row r="96" spans="2:15" ht="15" customHeight="1" x14ac:dyDescent="0.25">
      <c r="B96" s="35"/>
      <c r="C96" s="25"/>
      <c r="D96" s="25" t="s">
        <v>81</v>
      </c>
      <c r="E96" s="103"/>
      <c r="F96" s="25"/>
      <c r="G96" s="103" t="str">
        <f>IF(E100="ja",E96,IF(E100="unbekannt","unbekannt",""))</f>
        <v/>
      </c>
      <c r="H96" s="25"/>
      <c r="I96" s="103"/>
      <c r="J96" s="25"/>
      <c r="K96" s="103" t="str">
        <f>IF(I100="ja",I96,IF(I100="unbekannt","unbekannt",""))</f>
        <v/>
      </c>
      <c r="L96" s="25"/>
      <c r="M96" s="108"/>
      <c r="N96" s="25"/>
      <c r="O96" s="40"/>
    </row>
    <row r="97" spans="2:17" ht="23.25" customHeight="1" x14ac:dyDescent="0.25">
      <c r="B97" s="3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40"/>
    </row>
    <row r="98" spans="2:17" ht="15" customHeight="1" x14ac:dyDescent="0.25">
      <c r="B98" s="35"/>
      <c r="C98" s="25"/>
      <c r="D98" s="25" t="s">
        <v>255</v>
      </c>
      <c r="E98" s="103"/>
      <c r="F98" s="25"/>
      <c r="G98" s="103" t="str">
        <f>IF(E100="ja",E98,IF(E100="unbekannt","unbekannt",""))</f>
        <v/>
      </c>
      <c r="H98" s="25"/>
      <c r="I98" s="103"/>
      <c r="J98" s="25"/>
      <c r="K98" s="103" t="str">
        <f>IF(I100="ja",I98,IF(I100="unbekannt","unbekannt",""))</f>
        <v/>
      </c>
      <c r="L98" s="25"/>
      <c r="M98" s="108"/>
      <c r="N98" s="25"/>
      <c r="O98" s="40"/>
    </row>
    <row r="99" spans="2:17" ht="6.75" customHeight="1" x14ac:dyDescent="0.25">
      <c r="B99" s="3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40"/>
    </row>
    <row r="100" spans="2:17" x14ac:dyDescent="0.25">
      <c r="B100" s="35"/>
      <c r="C100" s="25"/>
      <c r="D100" s="63" t="s">
        <v>257</v>
      </c>
      <c r="E100" s="103"/>
      <c r="F100" s="25"/>
      <c r="G100" s="25" t="s">
        <v>256</v>
      </c>
      <c r="H100" s="25"/>
      <c r="I100" s="103"/>
      <c r="J100" s="25"/>
      <c r="K100" s="25"/>
      <c r="L100" s="25"/>
      <c r="M100" s="25"/>
      <c r="N100" s="25"/>
      <c r="O100" s="40"/>
    </row>
    <row r="101" spans="2:17" ht="6.75" customHeight="1" x14ac:dyDescent="0.25">
      <c r="B101" s="35"/>
      <c r="C101" s="25"/>
      <c r="D101" s="63"/>
      <c r="E101" s="63"/>
      <c r="F101" s="63"/>
      <c r="G101" s="63"/>
      <c r="H101" s="63"/>
      <c r="I101" s="63"/>
      <c r="J101" s="63"/>
      <c r="K101" s="63"/>
      <c r="L101" s="25"/>
      <c r="M101" s="25"/>
      <c r="N101" s="25"/>
      <c r="O101" s="40"/>
    </row>
    <row r="102" spans="2:17" ht="15" customHeight="1" thickBot="1" x14ac:dyDescent="0.3">
      <c r="B102" s="35"/>
      <c r="C102" s="3"/>
      <c r="D102" s="3"/>
      <c r="E102" s="3"/>
      <c r="F102" s="3"/>
      <c r="G102" s="3"/>
      <c r="H102" s="3"/>
      <c r="I102" s="3"/>
      <c r="J102" s="3"/>
      <c r="K102" s="3"/>
      <c r="L102" s="3"/>
      <c r="O102" s="40"/>
      <c r="Q102" s="53"/>
    </row>
    <row r="103" spans="2:17" ht="6.75" customHeight="1" thickBot="1" x14ac:dyDescent="0.3">
      <c r="B103" s="85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5"/>
      <c r="N103" s="85"/>
      <c r="O103" s="85"/>
    </row>
    <row r="104" spans="2:17" ht="15" customHeight="1" x14ac:dyDescent="0.25">
      <c r="B104" s="35"/>
      <c r="C104" s="3"/>
      <c r="D104" s="3"/>
      <c r="E104" s="3"/>
      <c r="F104" s="3"/>
      <c r="G104" s="3"/>
      <c r="H104" s="3"/>
      <c r="I104" s="3"/>
      <c r="J104" s="3"/>
      <c r="K104" s="3"/>
      <c r="L104" s="3"/>
      <c r="O104" s="40"/>
    </row>
    <row r="105" spans="2:17" ht="15" customHeight="1" x14ac:dyDescent="0.35">
      <c r="B105" s="35"/>
      <c r="C105" s="3"/>
      <c r="D105" s="57" t="s">
        <v>87</v>
      </c>
      <c r="E105" s="3"/>
      <c r="F105" s="3"/>
      <c r="G105" s="3"/>
      <c r="H105" s="3"/>
      <c r="I105" s="3"/>
      <c r="J105" s="3"/>
      <c r="K105" s="3"/>
      <c r="L105" s="3"/>
      <c r="O105" s="40"/>
    </row>
    <row r="106" spans="2:17" ht="15" customHeight="1" x14ac:dyDescent="0.25">
      <c r="B106" s="35"/>
      <c r="C106" s="3"/>
      <c r="D106" s="3"/>
      <c r="F106" s="3"/>
      <c r="G106" s="3" t="s">
        <v>10</v>
      </c>
      <c r="H106" s="3"/>
      <c r="I106" s="3"/>
      <c r="J106" s="3"/>
      <c r="K106" s="3"/>
      <c r="L106" s="3"/>
      <c r="O106" s="40"/>
    </row>
    <row r="107" spans="2:17" ht="6.75" customHeight="1" x14ac:dyDescent="0.25">
      <c r="B107" s="35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40"/>
    </row>
    <row r="108" spans="2:17" ht="15" customHeight="1" x14ac:dyDescent="0.3">
      <c r="B108" s="35"/>
      <c r="C108" s="28"/>
      <c r="D108" s="64" t="s">
        <v>88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40"/>
    </row>
    <row r="109" spans="2:17" ht="6.75" customHeight="1" x14ac:dyDescent="0.3">
      <c r="B109" s="35"/>
      <c r="C109" s="28"/>
      <c r="D109" s="64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40"/>
    </row>
    <row r="110" spans="2:17" ht="15" customHeight="1" x14ac:dyDescent="0.25">
      <c r="B110" s="35"/>
      <c r="C110" s="28"/>
      <c r="D110" s="28" t="s">
        <v>89</v>
      </c>
      <c r="E110" s="129"/>
      <c r="F110" s="129"/>
      <c r="G110" s="129"/>
      <c r="H110" s="129"/>
      <c r="I110" s="129"/>
      <c r="J110" s="129"/>
      <c r="K110" s="129"/>
      <c r="L110" s="129"/>
      <c r="M110" s="129"/>
      <c r="N110" s="72"/>
      <c r="O110" s="40"/>
    </row>
    <row r="111" spans="2:17" ht="6.75" customHeight="1" x14ac:dyDescent="0.25">
      <c r="B111" s="35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40"/>
    </row>
    <row r="112" spans="2:17" ht="15" customHeight="1" x14ac:dyDescent="0.25">
      <c r="B112" s="35"/>
      <c r="C112" s="28"/>
      <c r="D112" s="28" t="s">
        <v>90</v>
      </c>
      <c r="E112" s="103"/>
      <c r="F112" s="72"/>
      <c r="G112" s="129"/>
      <c r="H112" s="129"/>
      <c r="I112" s="129"/>
      <c r="J112" s="129"/>
      <c r="K112" s="129"/>
      <c r="L112" s="129"/>
      <c r="M112" s="129"/>
      <c r="N112" s="72"/>
      <c r="O112" s="40"/>
    </row>
    <row r="113" spans="2:15" ht="6.75" customHeight="1" x14ac:dyDescent="0.25">
      <c r="B113" s="35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40"/>
    </row>
    <row r="114" spans="2:15" ht="15" customHeight="1" x14ac:dyDescent="0.25">
      <c r="B114" s="35"/>
      <c r="C114" s="28"/>
      <c r="D114" s="28" t="s">
        <v>261</v>
      </c>
      <c r="E114" s="103"/>
      <c r="F114" s="28"/>
      <c r="G114" s="129"/>
      <c r="H114" s="129"/>
      <c r="I114" s="129"/>
      <c r="J114" s="129"/>
      <c r="K114" s="129"/>
      <c r="L114" s="129"/>
      <c r="M114" s="129"/>
      <c r="N114" s="28"/>
      <c r="O114" s="40"/>
    </row>
    <row r="115" spans="2:15" ht="6.75" customHeight="1" x14ac:dyDescent="0.25">
      <c r="B115" s="35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40"/>
    </row>
    <row r="116" spans="2:15" ht="15" customHeight="1" x14ac:dyDescent="0.25">
      <c r="B116" s="35"/>
      <c r="C116" s="28"/>
      <c r="D116" s="28" t="s">
        <v>94</v>
      </c>
      <c r="E116" s="103"/>
      <c r="F116" s="28"/>
      <c r="G116" s="129"/>
      <c r="H116" s="129"/>
      <c r="I116" s="129"/>
      <c r="J116" s="129"/>
      <c r="K116" s="129"/>
      <c r="L116" s="129"/>
      <c r="M116" s="129"/>
      <c r="N116" s="28"/>
      <c r="O116" s="40"/>
    </row>
    <row r="117" spans="2:15" ht="6.75" customHeight="1" x14ac:dyDescent="0.25">
      <c r="B117" s="35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40"/>
    </row>
    <row r="118" spans="2:15" ht="15" customHeight="1" x14ac:dyDescent="0.25">
      <c r="B118" s="35"/>
      <c r="C118" s="28"/>
      <c r="D118" s="28" t="s">
        <v>105</v>
      </c>
      <c r="E118" s="103"/>
      <c r="F118" s="28"/>
      <c r="G118" s="129"/>
      <c r="H118" s="129"/>
      <c r="I118" s="129"/>
      <c r="J118" s="129"/>
      <c r="K118" s="129"/>
      <c r="L118" s="129"/>
      <c r="M118" s="129"/>
      <c r="N118" s="28"/>
      <c r="O118" s="40"/>
    </row>
    <row r="119" spans="2:15" ht="6.75" customHeight="1" x14ac:dyDescent="0.25">
      <c r="B119" s="35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40"/>
    </row>
    <row r="120" spans="2:15" ht="21" customHeight="1" x14ac:dyDescent="0.25">
      <c r="B120" s="35"/>
      <c r="C120" s="3"/>
      <c r="D120" s="3"/>
      <c r="E120" s="3"/>
      <c r="F120" s="3"/>
      <c r="G120" s="3"/>
      <c r="H120" s="3"/>
      <c r="I120" s="3"/>
      <c r="J120" s="3"/>
      <c r="K120" s="3"/>
      <c r="L120" s="3"/>
      <c r="O120" s="40"/>
    </row>
    <row r="121" spans="2:15" ht="6.75" customHeight="1" x14ac:dyDescent="0.25">
      <c r="B121" s="35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40"/>
    </row>
    <row r="122" spans="2:15" x14ac:dyDescent="0.25">
      <c r="B122" s="35"/>
      <c r="C122" s="37"/>
      <c r="D122" s="37" t="s">
        <v>116</v>
      </c>
      <c r="E122" s="103"/>
      <c r="F122" s="37"/>
      <c r="G122" s="37" t="s">
        <v>136</v>
      </c>
      <c r="H122" s="37"/>
      <c r="I122" s="37"/>
      <c r="J122" s="37"/>
      <c r="K122" s="37"/>
      <c r="L122" s="37"/>
      <c r="M122" s="37"/>
      <c r="N122" s="37"/>
      <c r="O122" s="40"/>
    </row>
    <row r="123" spans="2:15" ht="6.75" customHeight="1" x14ac:dyDescent="0.25">
      <c r="B123" s="35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40"/>
    </row>
    <row r="124" spans="2:15" x14ac:dyDescent="0.25">
      <c r="B124" s="35"/>
      <c r="C124" s="3"/>
      <c r="D124" s="3"/>
      <c r="E124" s="3"/>
      <c r="F124" s="3"/>
      <c r="G124" s="3"/>
      <c r="H124" s="3"/>
      <c r="I124" s="3"/>
      <c r="J124" s="3"/>
      <c r="K124" s="3"/>
      <c r="L124" s="3"/>
      <c r="O124" s="40"/>
    </row>
    <row r="125" spans="2:15" x14ac:dyDescent="0.25">
      <c r="B125" s="35"/>
      <c r="C125" s="3"/>
      <c r="D125" s="3"/>
      <c r="F125" s="3"/>
      <c r="G125" s="3" t="s">
        <v>10</v>
      </c>
      <c r="H125" s="3"/>
      <c r="I125" s="3"/>
      <c r="J125" s="3"/>
      <c r="K125" s="3"/>
      <c r="L125" s="3"/>
      <c r="O125" s="40"/>
    </row>
    <row r="126" spans="2:15" ht="6.75" customHeight="1" x14ac:dyDescent="0.25">
      <c r="B126" s="35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0"/>
    </row>
    <row r="127" spans="2:15" ht="15" customHeight="1" x14ac:dyDescent="0.3">
      <c r="B127" s="35"/>
      <c r="C127" s="47"/>
      <c r="D127" s="88" t="s">
        <v>118</v>
      </c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0"/>
    </row>
    <row r="128" spans="2:15" ht="6.75" customHeight="1" x14ac:dyDescent="0.3">
      <c r="B128" s="35"/>
      <c r="C128" s="47"/>
      <c r="D128" s="88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0"/>
    </row>
    <row r="129" spans="2:15" ht="15" customHeight="1" x14ac:dyDescent="0.25">
      <c r="B129" s="35"/>
      <c r="C129" s="47"/>
      <c r="D129" s="47" t="s">
        <v>89</v>
      </c>
      <c r="E129" s="128"/>
      <c r="F129" s="128"/>
      <c r="G129" s="128"/>
      <c r="H129" s="128"/>
      <c r="I129" s="128"/>
      <c r="J129" s="128"/>
      <c r="K129" s="128"/>
      <c r="L129" s="128"/>
      <c r="M129" s="128"/>
      <c r="N129" s="73"/>
      <c r="O129" s="40"/>
    </row>
    <row r="130" spans="2:15" ht="6.75" customHeight="1" x14ac:dyDescent="0.25">
      <c r="B130" s="35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0"/>
    </row>
    <row r="131" spans="2:15" ht="15" customHeight="1" x14ac:dyDescent="0.25">
      <c r="B131" s="35"/>
      <c r="C131" s="47"/>
      <c r="D131" s="47" t="s">
        <v>90</v>
      </c>
      <c r="E131" s="103"/>
      <c r="F131" s="73"/>
      <c r="G131" s="128"/>
      <c r="H131" s="128"/>
      <c r="I131" s="128"/>
      <c r="J131" s="128"/>
      <c r="K131" s="128"/>
      <c r="L131" s="128"/>
      <c r="M131" s="128"/>
      <c r="N131" s="73"/>
      <c r="O131" s="40"/>
    </row>
    <row r="132" spans="2:15" ht="6.75" customHeight="1" x14ac:dyDescent="0.25">
      <c r="B132" s="35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0"/>
    </row>
    <row r="133" spans="2:15" ht="15" customHeight="1" x14ac:dyDescent="0.25">
      <c r="B133" s="35"/>
      <c r="C133" s="47"/>
      <c r="D133" s="47" t="s">
        <v>262</v>
      </c>
      <c r="E133" s="103"/>
      <c r="F133" s="47"/>
      <c r="G133" s="128"/>
      <c r="H133" s="128"/>
      <c r="I133" s="128"/>
      <c r="J133" s="128"/>
      <c r="K133" s="128"/>
      <c r="L133" s="128"/>
      <c r="M133" s="128"/>
      <c r="N133" s="47"/>
      <c r="O133" s="40"/>
    </row>
    <row r="134" spans="2:15" ht="6.75" customHeight="1" x14ac:dyDescent="0.25">
      <c r="B134" s="35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0"/>
    </row>
    <row r="135" spans="2:15" ht="15" customHeight="1" x14ac:dyDescent="0.25">
      <c r="B135" s="35"/>
      <c r="C135" s="47"/>
      <c r="D135" s="47" t="s">
        <v>94</v>
      </c>
      <c r="E135" s="103"/>
      <c r="F135" s="47"/>
      <c r="G135" s="128"/>
      <c r="H135" s="128"/>
      <c r="I135" s="128"/>
      <c r="J135" s="128"/>
      <c r="K135" s="128"/>
      <c r="L135" s="128"/>
      <c r="M135" s="128"/>
      <c r="N135" s="47"/>
      <c r="O135" s="40"/>
    </row>
    <row r="136" spans="2:15" ht="6.75" customHeight="1" x14ac:dyDescent="0.25">
      <c r="B136" s="35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0"/>
    </row>
    <row r="137" spans="2:15" ht="15" customHeight="1" x14ac:dyDescent="0.25">
      <c r="B137" s="35"/>
      <c r="C137" s="47"/>
      <c r="D137" s="47" t="s">
        <v>105</v>
      </c>
      <c r="E137" s="103"/>
      <c r="F137" s="47"/>
      <c r="G137" s="128"/>
      <c r="H137" s="128"/>
      <c r="I137" s="128"/>
      <c r="J137" s="128"/>
      <c r="K137" s="128"/>
      <c r="L137" s="128"/>
      <c r="M137" s="128"/>
      <c r="N137" s="47"/>
      <c r="O137" s="40"/>
    </row>
    <row r="138" spans="2:15" ht="6.75" customHeight="1" x14ac:dyDescent="0.25">
      <c r="B138" s="35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0"/>
    </row>
    <row r="139" spans="2:15" ht="15" customHeight="1" x14ac:dyDescent="0.25">
      <c r="B139" s="35"/>
      <c r="C139" s="47"/>
      <c r="D139" s="47" t="s">
        <v>120</v>
      </c>
      <c r="E139" s="103"/>
      <c r="F139" s="47"/>
      <c r="G139" s="128"/>
      <c r="H139" s="128"/>
      <c r="I139" s="128"/>
      <c r="J139" s="128"/>
      <c r="K139" s="128"/>
      <c r="L139" s="128"/>
      <c r="M139" s="128"/>
      <c r="N139" s="47"/>
      <c r="O139" s="40"/>
    </row>
    <row r="140" spans="2:15" ht="6.75" customHeight="1" x14ac:dyDescent="0.25">
      <c r="B140" s="35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0"/>
    </row>
    <row r="141" spans="2:15" ht="15" customHeight="1" x14ac:dyDescent="0.25">
      <c r="B141" s="35"/>
      <c r="C141" s="47"/>
      <c r="D141" s="47" t="s">
        <v>124</v>
      </c>
      <c r="E141" s="103"/>
      <c r="F141" s="47"/>
      <c r="G141" s="128"/>
      <c r="H141" s="128"/>
      <c r="I141" s="128"/>
      <c r="J141" s="128"/>
      <c r="K141" s="128"/>
      <c r="L141" s="128"/>
      <c r="M141" s="128"/>
      <c r="N141" s="47"/>
      <c r="O141" s="40"/>
    </row>
    <row r="142" spans="2:15" ht="6.75" customHeight="1" x14ac:dyDescent="0.25">
      <c r="B142" s="35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0"/>
    </row>
    <row r="143" spans="2:15" ht="15" customHeight="1" x14ac:dyDescent="0.25">
      <c r="B143" s="35"/>
      <c r="C143" s="47"/>
      <c r="D143" s="47" t="s">
        <v>126</v>
      </c>
      <c r="E143" s="103"/>
      <c r="F143" s="47"/>
      <c r="G143" s="128"/>
      <c r="H143" s="128"/>
      <c r="I143" s="128"/>
      <c r="J143" s="128"/>
      <c r="K143" s="128"/>
      <c r="L143" s="128"/>
      <c r="M143" s="128"/>
      <c r="N143" s="47"/>
      <c r="O143" s="40"/>
    </row>
    <row r="144" spans="2:15" ht="6.75" customHeight="1" x14ac:dyDescent="0.25">
      <c r="B144" s="35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0"/>
    </row>
    <row r="145" spans="2:15" ht="15" customHeight="1" x14ac:dyDescent="0.25">
      <c r="B145" s="35"/>
      <c r="C145" s="47"/>
      <c r="D145" s="47" t="s">
        <v>130</v>
      </c>
      <c r="E145" s="103"/>
      <c r="F145" s="47"/>
      <c r="G145" s="128"/>
      <c r="H145" s="128"/>
      <c r="I145" s="128"/>
      <c r="J145" s="128"/>
      <c r="K145" s="128"/>
      <c r="L145" s="128"/>
      <c r="M145" s="128"/>
      <c r="N145" s="47"/>
      <c r="O145" s="40"/>
    </row>
    <row r="146" spans="2:15" ht="6.75" customHeight="1" x14ac:dyDescent="0.25">
      <c r="B146" s="35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0"/>
    </row>
    <row r="147" spans="2:15" ht="15.75" thickBot="1" x14ac:dyDescent="0.3">
      <c r="B147" s="35"/>
      <c r="C147" s="3"/>
      <c r="D147" s="3"/>
      <c r="E147" s="3"/>
      <c r="F147" s="3"/>
      <c r="G147" s="3"/>
      <c r="H147" s="3"/>
      <c r="I147" s="3"/>
      <c r="J147" s="3"/>
      <c r="K147" s="3"/>
      <c r="L147" s="3"/>
      <c r="O147" s="40"/>
    </row>
    <row r="148" spans="2:15" ht="6.75" customHeight="1" thickBot="1" x14ac:dyDescent="0.3">
      <c r="B148" s="85"/>
      <c r="C148" s="85"/>
      <c r="D148" s="85"/>
      <c r="E148" s="85"/>
      <c r="F148" s="85"/>
      <c r="G148" s="85"/>
      <c r="H148" s="85"/>
      <c r="I148" s="85"/>
      <c r="J148" s="85"/>
      <c r="K148" s="85"/>
      <c r="L148" s="85"/>
      <c r="M148" s="85"/>
      <c r="N148" s="85"/>
      <c r="O148" s="85"/>
    </row>
    <row r="149" spans="2:15" ht="15" customHeight="1" x14ac:dyDescent="0.25">
      <c r="B149" s="35"/>
      <c r="C149" s="3"/>
      <c r="D149" s="3"/>
      <c r="E149" s="3"/>
      <c r="F149" s="3"/>
      <c r="G149" s="3"/>
      <c r="H149" s="3"/>
      <c r="I149" s="3"/>
      <c r="J149" s="3"/>
      <c r="K149" s="3"/>
      <c r="L149" s="3"/>
      <c r="O149" s="40"/>
    </row>
    <row r="150" spans="2:15" ht="15" customHeight="1" x14ac:dyDescent="0.35">
      <c r="B150" s="35"/>
      <c r="C150" s="3"/>
      <c r="D150" s="57" t="s">
        <v>149</v>
      </c>
      <c r="E150" s="3"/>
      <c r="F150" s="3"/>
      <c r="G150" s="3"/>
      <c r="H150" s="3"/>
      <c r="I150" s="3"/>
      <c r="J150" s="3"/>
      <c r="K150" s="3"/>
      <c r="L150" s="3"/>
      <c r="O150" s="40"/>
    </row>
    <row r="151" spans="2:15" ht="15" customHeight="1" x14ac:dyDescent="0.25">
      <c r="B151" s="35"/>
      <c r="C151" s="3"/>
      <c r="D151" s="3"/>
      <c r="E151" s="3"/>
      <c r="F151" s="3"/>
      <c r="G151" s="3" t="s">
        <v>10</v>
      </c>
      <c r="H151" s="3"/>
      <c r="I151" s="3"/>
      <c r="J151" s="3"/>
      <c r="K151" s="3"/>
      <c r="L151" s="3"/>
      <c r="O151" s="40"/>
    </row>
    <row r="152" spans="2:15" ht="6.75" customHeight="1" x14ac:dyDescent="0.25">
      <c r="B152" s="35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0"/>
    </row>
    <row r="153" spans="2:15" x14ac:dyDescent="0.25">
      <c r="B153" s="35"/>
      <c r="C153" s="44"/>
      <c r="D153" s="44" t="s">
        <v>141</v>
      </c>
      <c r="E153" s="103"/>
      <c r="F153" s="44"/>
      <c r="G153" s="127"/>
      <c r="H153" s="127"/>
      <c r="I153" s="127"/>
      <c r="J153" s="127"/>
      <c r="K153" s="127"/>
      <c r="L153" s="127"/>
      <c r="M153" s="127"/>
      <c r="N153" s="44"/>
      <c r="O153" s="40"/>
    </row>
    <row r="154" spans="2:15" ht="7.5" customHeight="1" x14ac:dyDescent="0.25">
      <c r="B154" s="35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0"/>
    </row>
    <row r="155" spans="2:15" x14ac:dyDescent="0.25">
      <c r="B155" s="35"/>
      <c r="C155" s="44"/>
      <c r="D155" s="44" t="s">
        <v>142</v>
      </c>
      <c r="E155" s="103"/>
      <c r="F155" s="44"/>
      <c r="G155" s="127"/>
      <c r="H155" s="127"/>
      <c r="I155" s="127"/>
      <c r="J155" s="127"/>
      <c r="K155" s="127"/>
      <c r="L155" s="127"/>
      <c r="M155" s="127"/>
      <c r="N155" s="44"/>
      <c r="O155" s="40"/>
    </row>
    <row r="156" spans="2:15" ht="7.5" customHeight="1" x14ac:dyDescent="0.25">
      <c r="B156" s="35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0"/>
    </row>
    <row r="157" spans="2:15" x14ac:dyDescent="0.25">
      <c r="B157" s="35"/>
      <c r="C157" s="44"/>
      <c r="D157" s="44" t="s">
        <v>143</v>
      </c>
      <c r="E157" s="103"/>
      <c r="F157" s="44"/>
      <c r="G157" s="127"/>
      <c r="H157" s="127"/>
      <c r="I157" s="127"/>
      <c r="J157" s="127"/>
      <c r="K157" s="127"/>
      <c r="L157" s="127"/>
      <c r="M157" s="127"/>
      <c r="N157" s="44"/>
      <c r="O157" s="40"/>
    </row>
    <row r="158" spans="2:15" ht="16.5" customHeight="1" x14ac:dyDescent="0.25">
      <c r="B158" s="35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0"/>
    </row>
    <row r="159" spans="2:15" x14ac:dyDescent="0.25">
      <c r="B159" s="35"/>
      <c r="C159" s="44"/>
      <c r="D159" s="65" t="s">
        <v>195</v>
      </c>
      <c r="E159" s="44"/>
      <c r="F159" s="44"/>
      <c r="G159" s="44"/>
      <c r="H159" s="44"/>
      <c r="I159" s="44"/>
      <c r="J159" s="44"/>
      <c r="K159" s="44"/>
      <c r="L159" s="44"/>
      <c r="M159" s="44"/>
      <c r="N159" s="44"/>
      <c r="O159" s="40"/>
    </row>
    <row r="160" spans="2:15" ht="7.5" customHeight="1" x14ac:dyDescent="0.25">
      <c r="B160" s="35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0"/>
    </row>
    <row r="161" spans="2:15" x14ac:dyDescent="0.25">
      <c r="B161" s="35"/>
      <c r="C161" s="44"/>
      <c r="D161" s="44" t="s">
        <v>80</v>
      </c>
      <c r="E161" s="103"/>
      <c r="F161" s="44"/>
      <c r="G161" s="127"/>
      <c r="H161" s="127"/>
      <c r="I161" s="127"/>
      <c r="J161" s="127"/>
      <c r="K161" s="127"/>
      <c r="L161" s="127"/>
      <c r="M161" s="127"/>
      <c r="N161" s="44"/>
      <c r="O161" s="40"/>
    </row>
    <row r="162" spans="2:15" ht="7.5" customHeight="1" x14ac:dyDescent="0.25">
      <c r="B162" s="35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0"/>
    </row>
    <row r="163" spans="2:15" x14ac:dyDescent="0.25">
      <c r="B163" s="35"/>
      <c r="C163" s="44"/>
      <c r="D163" s="44" t="s">
        <v>62</v>
      </c>
      <c r="E163" s="103"/>
      <c r="F163" s="44"/>
      <c r="G163" s="127"/>
      <c r="H163" s="127"/>
      <c r="I163" s="127"/>
      <c r="J163" s="127"/>
      <c r="K163" s="127"/>
      <c r="L163" s="127"/>
      <c r="M163" s="127"/>
      <c r="N163" s="44"/>
      <c r="O163" s="40"/>
    </row>
    <row r="164" spans="2:15" ht="7.5" customHeight="1" x14ac:dyDescent="0.25">
      <c r="B164" s="35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0"/>
    </row>
    <row r="165" spans="2:15" x14ac:dyDescent="0.25">
      <c r="B165" s="35"/>
      <c r="C165" s="44"/>
      <c r="D165" s="44" t="s">
        <v>144</v>
      </c>
      <c r="E165" s="103"/>
      <c r="F165" s="44"/>
      <c r="G165" s="127"/>
      <c r="H165" s="127"/>
      <c r="I165" s="127"/>
      <c r="J165" s="127"/>
      <c r="K165" s="127"/>
      <c r="L165" s="127"/>
      <c r="M165" s="127"/>
      <c r="N165" s="44"/>
      <c r="O165" s="40"/>
    </row>
    <row r="166" spans="2:15" ht="7.5" customHeight="1" x14ac:dyDescent="0.25">
      <c r="B166" s="35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0"/>
    </row>
    <row r="167" spans="2:15" x14ac:dyDescent="0.25">
      <c r="B167" s="35"/>
      <c r="C167" s="44"/>
      <c r="D167" s="44" t="s">
        <v>88</v>
      </c>
      <c r="E167" s="103"/>
      <c r="F167" s="44"/>
      <c r="G167" s="127"/>
      <c r="H167" s="127"/>
      <c r="I167" s="127"/>
      <c r="J167" s="127"/>
      <c r="K167" s="127"/>
      <c r="L167" s="127"/>
      <c r="M167" s="127"/>
      <c r="N167" s="44"/>
      <c r="O167" s="40"/>
    </row>
    <row r="168" spans="2:15" x14ac:dyDescent="0.25">
      <c r="B168" s="35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0"/>
    </row>
    <row r="169" spans="2:15" x14ac:dyDescent="0.25">
      <c r="B169" s="35"/>
      <c r="C169" s="3"/>
      <c r="D169" s="3"/>
      <c r="E169" s="3"/>
      <c r="F169" s="3"/>
      <c r="G169" s="3"/>
      <c r="H169" s="3"/>
      <c r="I169" s="3"/>
      <c r="J169" s="3"/>
      <c r="K169" s="3"/>
      <c r="L169" s="3"/>
      <c r="O169" s="40"/>
    </row>
    <row r="170" spans="2:15" ht="18.75" x14ac:dyDescent="0.3">
      <c r="B170" s="35"/>
      <c r="C170" s="45"/>
      <c r="D170" s="66" t="s">
        <v>251</v>
      </c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0"/>
    </row>
    <row r="171" spans="2:15" ht="6.75" customHeight="1" x14ac:dyDescent="0.3">
      <c r="B171" s="35"/>
      <c r="C171" s="45"/>
      <c r="D171" s="66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0"/>
    </row>
    <row r="172" spans="2:15" x14ac:dyDescent="0.25">
      <c r="B172" s="35"/>
      <c r="C172" s="45"/>
      <c r="D172" s="45" t="s">
        <v>273</v>
      </c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0"/>
    </row>
    <row r="173" spans="2:15" ht="6.75" customHeight="1" x14ac:dyDescent="0.25">
      <c r="B173" s="3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0"/>
    </row>
    <row r="174" spans="2:15" x14ac:dyDescent="0.25">
      <c r="B174" s="35"/>
      <c r="C174" s="45"/>
      <c r="D174" s="45" t="s">
        <v>145</v>
      </c>
      <c r="E174" s="103"/>
      <c r="F174" s="45"/>
      <c r="G174" s="45"/>
      <c r="H174" s="45"/>
      <c r="I174" s="45"/>
      <c r="J174" s="45"/>
      <c r="K174" s="45"/>
      <c r="L174" s="45"/>
      <c r="M174" s="45"/>
      <c r="N174" s="45"/>
      <c r="O174" s="40"/>
    </row>
    <row r="175" spans="2:15" ht="7.5" customHeight="1" x14ac:dyDescent="0.25">
      <c r="B175" s="3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0"/>
    </row>
    <row r="176" spans="2:15" ht="15" customHeight="1" x14ac:dyDescent="0.25">
      <c r="B176" s="35"/>
      <c r="C176" s="45"/>
      <c r="D176" s="45"/>
      <c r="E176" s="45" t="s">
        <v>168</v>
      </c>
      <c r="F176" s="45"/>
      <c r="G176" s="45" t="s">
        <v>169</v>
      </c>
      <c r="H176" s="45"/>
      <c r="I176" s="45" t="s">
        <v>170</v>
      </c>
      <c r="J176" s="45"/>
      <c r="K176" s="45" t="s">
        <v>171</v>
      </c>
      <c r="L176" s="45"/>
      <c r="M176" s="45" t="s">
        <v>172</v>
      </c>
      <c r="N176" s="45"/>
      <c r="O176" s="40"/>
    </row>
    <row r="177" spans="2:15" ht="15" customHeight="1" x14ac:dyDescent="0.25">
      <c r="B177" s="35"/>
      <c r="C177" s="45"/>
      <c r="D177" s="45" t="s">
        <v>187</v>
      </c>
      <c r="E177" s="103"/>
      <c r="F177" s="45"/>
      <c r="G177" s="103"/>
      <c r="H177" s="45"/>
      <c r="I177" s="103"/>
      <c r="J177" s="45"/>
      <c r="K177" s="103"/>
      <c r="L177" s="45"/>
      <c r="M177" s="103"/>
      <c r="N177" s="98"/>
      <c r="O177" s="40"/>
    </row>
    <row r="178" spans="2:15" ht="7.5" customHeight="1" x14ac:dyDescent="0.25">
      <c r="B178" s="3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0"/>
    </row>
    <row r="179" spans="2:15" ht="15" customHeight="1" x14ac:dyDescent="0.25">
      <c r="B179" s="35"/>
      <c r="C179" s="45"/>
      <c r="D179" s="45" t="s">
        <v>148</v>
      </c>
      <c r="E179" s="103"/>
      <c r="F179" s="45"/>
      <c r="G179" s="103"/>
      <c r="H179" s="45"/>
      <c r="I179" s="103"/>
      <c r="J179" s="45"/>
      <c r="K179" s="103"/>
      <c r="L179" s="45"/>
      <c r="M179" s="103"/>
      <c r="N179" s="45"/>
      <c r="O179" s="40"/>
    </row>
    <row r="180" spans="2:15" ht="7.5" customHeight="1" x14ac:dyDescent="0.25">
      <c r="B180" s="3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0"/>
    </row>
    <row r="181" spans="2:15" ht="15" customHeight="1" x14ac:dyDescent="0.25">
      <c r="B181" s="35"/>
      <c r="C181" s="45"/>
      <c r="D181" s="45" t="s">
        <v>147</v>
      </c>
      <c r="E181" s="103"/>
      <c r="F181" s="45"/>
      <c r="G181" s="103"/>
      <c r="H181" s="45"/>
      <c r="I181" s="103"/>
      <c r="J181" s="45"/>
      <c r="K181" s="103"/>
      <c r="L181" s="45"/>
      <c r="M181" s="103"/>
      <c r="N181" s="45"/>
      <c r="O181" s="40"/>
    </row>
    <row r="182" spans="2:15" ht="7.5" customHeight="1" x14ac:dyDescent="0.25">
      <c r="B182" s="3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0"/>
    </row>
    <row r="183" spans="2:15" x14ac:dyDescent="0.25">
      <c r="B183" s="35"/>
      <c r="C183" s="45"/>
      <c r="D183" s="67" t="s">
        <v>146</v>
      </c>
      <c r="E183" s="103"/>
      <c r="F183" s="45"/>
      <c r="G183" s="103"/>
      <c r="H183" s="45"/>
      <c r="I183" s="103"/>
      <c r="J183" s="45"/>
      <c r="K183" s="103"/>
      <c r="L183" s="45"/>
      <c r="M183" s="103"/>
      <c r="N183" s="45"/>
      <c r="O183" s="40"/>
    </row>
    <row r="184" spans="2:15" ht="7.5" customHeight="1" x14ac:dyDescent="0.25">
      <c r="B184" s="3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0"/>
    </row>
    <row r="185" spans="2:15" x14ac:dyDescent="0.25">
      <c r="B185" s="35"/>
      <c r="C185" s="45"/>
      <c r="D185" s="67" t="s">
        <v>463</v>
      </c>
      <c r="E185" s="103"/>
      <c r="F185" s="45"/>
      <c r="G185" s="103"/>
      <c r="H185" s="45"/>
      <c r="I185" s="103"/>
      <c r="J185" s="45"/>
      <c r="K185" s="103"/>
      <c r="L185" s="45"/>
      <c r="M185" s="103"/>
      <c r="N185" s="45"/>
      <c r="O185" s="40"/>
    </row>
    <row r="186" spans="2:15" ht="7.5" customHeight="1" x14ac:dyDescent="0.25">
      <c r="B186" s="3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0"/>
    </row>
    <row r="187" spans="2:15" x14ac:dyDescent="0.25">
      <c r="B187" s="35"/>
      <c r="C187" s="45"/>
      <c r="D187" s="45" t="s">
        <v>194</v>
      </c>
      <c r="E187" s="100"/>
      <c r="F187" s="45"/>
      <c r="G187" s="100"/>
      <c r="H187" s="45"/>
      <c r="I187" s="100"/>
      <c r="J187" s="45"/>
      <c r="K187" s="100"/>
      <c r="L187" s="45"/>
      <c r="M187" s="100"/>
      <c r="N187" s="45"/>
      <c r="O187" s="40"/>
    </row>
    <row r="188" spans="2:15" ht="6.75" customHeight="1" x14ac:dyDescent="0.25">
      <c r="B188" s="3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0"/>
    </row>
    <row r="189" spans="2:15" x14ac:dyDescent="0.25">
      <c r="B189" s="35"/>
      <c r="C189" s="45"/>
      <c r="D189" s="45" t="s">
        <v>274</v>
      </c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0"/>
    </row>
    <row r="190" spans="2:15" ht="6.75" customHeight="1" x14ac:dyDescent="0.25">
      <c r="B190" s="3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0"/>
    </row>
    <row r="191" spans="2:15" x14ac:dyDescent="0.25">
      <c r="B191" s="35"/>
      <c r="C191" s="45"/>
      <c r="D191" s="45" t="s">
        <v>145</v>
      </c>
      <c r="E191" s="103"/>
      <c r="F191" s="45"/>
      <c r="G191" s="45"/>
      <c r="H191" s="45"/>
      <c r="I191" s="45"/>
      <c r="J191" s="45"/>
      <c r="K191" s="45"/>
      <c r="L191" s="45"/>
      <c r="M191" s="45"/>
      <c r="N191" s="45"/>
      <c r="O191" s="40"/>
    </row>
    <row r="192" spans="2:15" ht="7.5" customHeight="1" x14ac:dyDescent="0.25">
      <c r="B192" s="3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0"/>
    </row>
    <row r="193" spans="2:15" ht="15" customHeight="1" x14ac:dyDescent="0.25">
      <c r="B193" s="35"/>
      <c r="C193" s="45"/>
      <c r="D193" s="45"/>
      <c r="E193" s="45" t="s">
        <v>168</v>
      </c>
      <c r="F193" s="45"/>
      <c r="G193" s="45" t="s">
        <v>169</v>
      </c>
      <c r="H193" s="45"/>
      <c r="I193" s="45" t="s">
        <v>170</v>
      </c>
      <c r="J193" s="45"/>
      <c r="K193" s="45" t="s">
        <v>171</v>
      </c>
      <c r="L193" s="45"/>
      <c r="M193" s="45" t="s">
        <v>172</v>
      </c>
      <c r="N193" s="45"/>
      <c r="O193" s="40"/>
    </row>
    <row r="194" spans="2:15" ht="15" customHeight="1" x14ac:dyDescent="0.25">
      <c r="B194" s="35"/>
      <c r="C194" s="45"/>
      <c r="D194" s="45" t="s">
        <v>187</v>
      </c>
      <c r="E194" s="103"/>
      <c r="F194" s="45"/>
      <c r="G194" s="103"/>
      <c r="H194" s="45"/>
      <c r="I194" s="103"/>
      <c r="J194" s="45"/>
      <c r="K194" s="103"/>
      <c r="L194" s="45"/>
      <c r="M194" s="103"/>
      <c r="N194" s="98"/>
      <c r="O194" s="40"/>
    </row>
    <row r="195" spans="2:15" ht="7.5" customHeight="1" x14ac:dyDescent="0.25">
      <c r="B195" s="3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0"/>
    </row>
    <row r="196" spans="2:15" ht="15" customHeight="1" x14ac:dyDescent="0.25">
      <c r="B196" s="35"/>
      <c r="C196" s="45"/>
      <c r="D196" s="45" t="s">
        <v>148</v>
      </c>
      <c r="E196" s="103"/>
      <c r="F196" s="45"/>
      <c r="G196" s="103"/>
      <c r="H196" s="45"/>
      <c r="I196" s="103"/>
      <c r="J196" s="45"/>
      <c r="K196" s="103"/>
      <c r="L196" s="45"/>
      <c r="M196" s="103"/>
      <c r="N196" s="45"/>
      <c r="O196" s="40"/>
    </row>
    <row r="197" spans="2:15" ht="7.5" customHeight="1" x14ac:dyDescent="0.25">
      <c r="B197" s="3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0"/>
    </row>
    <row r="198" spans="2:15" ht="15" customHeight="1" x14ac:dyDescent="0.25">
      <c r="B198" s="35"/>
      <c r="C198" s="45"/>
      <c r="D198" s="45" t="s">
        <v>147</v>
      </c>
      <c r="E198" s="103"/>
      <c r="F198" s="45"/>
      <c r="G198" s="103"/>
      <c r="H198" s="45"/>
      <c r="I198" s="103"/>
      <c r="J198" s="45"/>
      <c r="K198" s="103"/>
      <c r="L198" s="45"/>
      <c r="M198" s="103"/>
      <c r="N198" s="45"/>
      <c r="O198" s="40"/>
    </row>
    <row r="199" spans="2:15" ht="7.5" customHeight="1" x14ac:dyDescent="0.25">
      <c r="B199" s="3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0"/>
    </row>
    <row r="200" spans="2:15" x14ac:dyDescent="0.25">
      <c r="B200" s="35"/>
      <c r="C200" s="45"/>
      <c r="D200" s="67" t="s">
        <v>146</v>
      </c>
      <c r="E200" s="103"/>
      <c r="F200" s="45"/>
      <c r="G200" s="103"/>
      <c r="H200" s="45"/>
      <c r="I200" s="103"/>
      <c r="J200" s="45"/>
      <c r="K200" s="103"/>
      <c r="L200" s="45"/>
      <c r="M200" s="103"/>
      <c r="N200" s="45"/>
      <c r="O200" s="40"/>
    </row>
    <row r="201" spans="2:15" ht="7.5" customHeight="1" x14ac:dyDescent="0.25">
      <c r="B201" s="3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0"/>
    </row>
    <row r="202" spans="2:15" x14ac:dyDescent="0.25">
      <c r="B202" s="35"/>
      <c r="C202" s="45"/>
      <c r="D202" s="67" t="s">
        <v>463</v>
      </c>
      <c r="E202" s="103"/>
      <c r="F202" s="45"/>
      <c r="G202" s="103"/>
      <c r="H202" s="45"/>
      <c r="I202" s="103"/>
      <c r="J202" s="45"/>
      <c r="K202" s="103"/>
      <c r="L202" s="45"/>
      <c r="M202" s="103"/>
      <c r="N202" s="45"/>
      <c r="O202" s="40"/>
    </row>
    <row r="203" spans="2:15" ht="7.5" customHeight="1" x14ac:dyDescent="0.25">
      <c r="B203" s="3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0"/>
    </row>
    <row r="204" spans="2:15" x14ac:dyDescent="0.25">
      <c r="B204" s="35"/>
      <c r="C204" s="45"/>
      <c r="D204" s="45" t="s">
        <v>194</v>
      </c>
      <c r="E204" s="100"/>
      <c r="F204" s="45"/>
      <c r="G204" s="100"/>
      <c r="H204" s="45"/>
      <c r="I204" s="100"/>
      <c r="J204" s="45"/>
      <c r="K204" s="100"/>
      <c r="L204" s="45"/>
      <c r="M204" s="100"/>
      <c r="N204" s="45"/>
      <c r="O204" s="40"/>
    </row>
    <row r="205" spans="2:15" x14ac:dyDescent="0.25">
      <c r="B205" s="35"/>
      <c r="C205" s="45"/>
      <c r="D205" s="45"/>
      <c r="E205" s="98"/>
      <c r="F205" s="45"/>
      <c r="G205" s="98"/>
      <c r="H205" s="45"/>
      <c r="I205" s="98"/>
      <c r="J205" s="45"/>
      <c r="K205" s="98"/>
      <c r="L205" s="45"/>
      <c r="M205" s="98"/>
      <c r="N205" s="45"/>
      <c r="O205" s="40"/>
    </row>
    <row r="206" spans="2:15" ht="6.75" customHeight="1" x14ac:dyDescent="0.25">
      <c r="B206" s="3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0"/>
    </row>
    <row r="207" spans="2:15" x14ac:dyDescent="0.25">
      <c r="B207" s="35"/>
      <c r="C207" s="45"/>
      <c r="D207" s="45" t="s">
        <v>275</v>
      </c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0"/>
    </row>
    <row r="208" spans="2:15" ht="6.75" customHeight="1" x14ac:dyDescent="0.25">
      <c r="B208" s="3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0"/>
    </row>
    <row r="209" spans="2:15" x14ac:dyDescent="0.25">
      <c r="B209" s="35"/>
      <c r="C209" s="45"/>
      <c r="D209" s="45" t="s">
        <v>145</v>
      </c>
      <c r="E209" s="103"/>
      <c r="F209" s="45"/>
      <c r="G209" s="45"/>
      <c r="H209" s="45"/>
      <c r="I209" s="45"/>
      <c r="J209" s="45"/>
      <c r="K209" s="45"/>
      <c r="L209" s="45"/>
      <c r="M209" s="45"/>
      <c r="N209" s="45"/>
      <c r="O209" s="40"/>
    </row>
    <row r="210" spans="2:15" ht="7.5" customHeight="1" x14ac:dyDescent="0.25">
      <c r="B210" s="3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0"/>
    </row>
    <row r="211" spans="2:15" ht="15" customHeight="1" x14ac:dyDescent="0.25">
      <c r="B211" s="35"/>
      <c r="C211" s="45"/>
      <c r="D211" s="45"/>
      <c r="E211" s="45" t="s">
        <v>168</v>
      </c>
      <c r="F211" s="45"/>
      <c r="G211" s="45" t="s">
        <v>169</v>
      </c>
      <c r="H211" s="45"/>
      <c r="I211" s="45" t="s">
        <v>170</v>
      </c>
      <c r="J211" s="45"/>
      <c r="K211" s="45" t="s">
        <v>171</v>
      </c>
      <c r="L211" s="45"/>
      <c r="M211" s="45" t="s">
        <v>172</v>
      </c>
      <c r="N211" s="45"/>
      <c r="O211" s="40"/>
    </row>
    <row r="212" spans="2:15" ht="15" customHeight="1" x14ac:dyDescent="0.25">
      <c r="B212" s="35"/>
      <c r="C212" s="45"/>
      <c r="D212" s="45" t="s">
        <v>187</v>
      </c>
      <c r="E212" s="103"/>
      <c r="F212" s="45"/>
      <c r="G212" s="103"/>
      <c r="H212" s="45"/>
      <c r="I212" s="103"/>
      <c r="J212" s="45"/>
      <c r="K212" s="103"/>
      <c r="L212" s="45"/>
      <c r="M212" s="103"/>
      <c r="N212" s="98"/>
      <c r="O212" s="40"/>
    </row>
    <row r="213" spans="2:15" ht="7.5" customHeight="1" x14ac:dyDescent="0.25">
      <c r="B213" s="3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0"/>
    </row>
    <row r="214" spans="2:15" ht="15" customHeight="1" x14ac:dyDescent="0.25">
      <c r="B214" s="35"/>
      <c r="C214" s="45"/>
      <c r="D214" s="45" t="s">
        <v>148</v>
      </c>
      <c r="E214" s="103"/>
      <c r="F214" s="45"/>
      <c r="G214" s="103"/>
      <c r="H214" s="45"/>
      <c r="I214" s="103"/>
      <c r="J214" s="45"/>
      <c r="K214" s="103"/>
      <c r="L214" s="45"/>
      <c r="M214" s="103"/>
      <c r="N214" s="45"/>
      <c r="O214" s="40"/>
    </row>
    <row r="215" spans="2:15" ht="7.5" customHeight="1" x14ac:dyDescent="0.25">
      <c r="B215" s="3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0"/>
    </row>
    <row r="216" spans="2:15" ht="15" customHeight="1" x14ac:dyDescent="0.25">
      <c r="B216" s="35"/>
      <c r="C216" s="45"/>
      <c r="D216" s="45" t="s">
        <v>147</v>
      </c>
      <c r="E216" s="103"/>
      <c r="F216" s="45"/>
      <c r="G216" s="103"/>
      <c r="H216" s="45"/>
      <c r="I216" s="103"/>
      <c r="J216" s="45"/>
      <c r="K216" s="103"/>
      <c r="L216" s="45"/>
      <c r="M216" s="103"/>
      <c r="N216" s="45"/>
      <c r="O216" s="40"/>
    </row>
    <row r="217" spans="2:15" ht="7.5" customHeight="1" x14ac:dyDescent="0.25">
      <c r="B217" s="3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0"/>
    </row>
    <row r="218" spans="2:15" x14ac:dyDescent="0.25">
      <c r="B218" s="35"/>
      <c r="C218" s="45"/>
      <c r="D218" s="67" t="s">
        <v>146</v>
      </c>
      <c r="E218" s="103"/>
      <c r="F218" s="45"/>
      <c r="G218" s="103"/>
      <c r="H218" s="45"/>
      <c r="I218" s="103"/>
      <c r="J218" s="45"/>
      <c r="K218" s="103"/>
      <c r="L218" s="45"/>
      <c r="M218" s="103"/>
      <c r="N218" s="45"/>
      <c r="O218" s="40"/>
    </row>
    <row r="219" spans="2:15" ht="7.5" customHeight="1" x14ac:dyDescent="0.25">
      <c r="B219" s="3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0"/>
    </row>
    <row r="220" spans="2:15" x14ac:dyDescent="0.25">
      <c r="B220" s="35"/>
      <c r="C220" s="45"/>
      <c r="D220" s="67" t="s">
        <v>463</v>
      </c>
      <c r="E220" s="103"/>
      <c r="F220" s="45"/>
      <c r="G220" s="103"/>
      <c r="H220" s="45"/>
      <c r="I220" s="103"/>
      <c r="J220" s="45"/>
      <c r="K220" s="103"/>
      <c r="L220" s="45"/>
      <c r="M220" s="103"/>
      <c r="N220" s="45"/>
      <c r="O220" s="40"/>
    </row>
    <row r="221" spans="2:15" ht="7.5" customHeight="1" x14ac:dyDescent="0.25">
      <c r="B221" s="3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0"/>
    </row>
    <row r="222" spans="2:15" x14ac:dyDescent="0.25">
      <c r="B222" s="35"/>
      <c r="C222" s="45"/>
      <c r="D222" s="45" t="s">
        <v>194</v>
      </c>
      <c r="E222" s="100"/>
      <c r="F222" s="45"/>
      <c r="G222" s="100"/>
      <c r="H222" s="45"/>
      <c r="I222" s="100"/>
      <c r="J222" s="45"/>
      <c r="K222" s="100"/>
      <c r="L222" s="45"/>
      <c r="M222" s="100"/>
      <c r="N222" s="45"/>
      <c r="O222" s="40"/>
    </row>
    <row r="223" spans="2:15" x14ac:dyDescent="0.25">
      <c r="B223" s="35"/>
      <c r="C223" s="45"/>
      <c r="D223" s="45"/>
      <c r="E223" s="98"/>
      <c r="F223" s="45"/>
      <c r="G223" s="98"/>
      <c r="H223" s="45"/>
      <c r="I223" s="98"/>
      <c r="J223" s="45"/>
      <c r="K223" s="98"/>
      <c r="L223" s="45"/>
      <c r="M223" s="98"/>
      <c r="N223" s="45"/>
      <c r="O223" s="40"/>
    </row>
    <row r="224" spans="2:15" ht="6.75" customHeight="1" x14ac:dyDescent="0.25">
      <c r="B224" s="3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0"/>
    </row>
    <row r="225" spans="2:15" x14ac:dyDescent="0.25">
      <c r="B225" s="35"/>
      <c r="C225" s="45"/>
      <c r="D225" s="45" t="s">
        <v>276</v>
      </c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0"/>
    </row>
    <row r="226" spans="2:15" ht="6.75" customHeight="1" x14ac:dyDescent="0.25">
      <c r="B226" s="3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0"/>
    </row>
    <row r="227" spans="2:15" x14ac:dyDescent="0.25">
      <c r="B227" s="35"/>
      <c r="C227" s="45"/>
      <c r="D227" s="45" t="s">
        <v>145</v>
      </c>
      <c r="E227" s="103"/>
      <c r="F227" s="45"/>
      <c r="G227" s="45"/>
      <c r="H227" s="45"/>
      <c r="I227" s="45"/>
      <c r="J227" s="45"/>
      <c r="K227" s="45"/>
      <c r="L227" s="45"/>
      <c r="M227" s="45"/>
      <c r="N227" s="45"/>
      <c r="O227" s="40"/>
    </row>
    <row r="228" spans="2:15" ht="7.5" customHeight="1" x14ac:dyDescent="0.25">
      <c r="B228" s="3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0"/>
    </row>
    <row r="229" spans="2:15" ht="15" customHeight="1" x14ac:dyDescent="0.25">
      <c r="B229" s="35"/>
      <c r="C229" s="45"/>
      <c r="D229" s="45"/>
      <c r="E229" s="45" t="s">
        <v>168</v>
      </c>
      <c r="F229" s="45"/>
      <c r="G229" s="45" t="s">
        <v>169</v>
      </c>
      <c r="H229" s="45"/>
      <c r="I229" s="45" t="s">
        <v>170</v>
      </c>
      <c r="J229" s="45"/>
      <c r="K229" s="45" t="s">
        <v>171</v>
      </c>
      <c r="L229" s="45"/>
      <c r="M229" s="45" t="s">
        <v>172</v>
      </c>
      <c r="N229" s="45"/>
      <c r="O229" s="40"/>
    </row>
    <row r="230" spans="2:15" ht="15" customHeight="1" x14ac:dyDescent="0.25">
      <c r="B230" s="35"/>
      <c r="C230" s="45"/>
      <c r="D230" s="45" t="s">
        <v>187</v>
      </c>
      <c r="E230" s="103"/>
      <c r="F230" s="45"/>
      <c r="G230" s="103"/>
      <c r="H230" s="45"/>
      <c r="I230" s="103"/>
      <c r="J230" s="45"/>
      <c r="K230" s="103"/>
      <c r="L230" s="45"/>
      <c r="M230" s="103"/>
      <c r="N230" s="98"/>
      <c r="O230" s="40"/>
    </row>
    <row r="231" spans="2:15" ht="7.5" customHeight="1" x14ac:dyDescent="0.25">
      <c r="B231" s="3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0"/>
    </row>
    <row r="232" spans="2:15" ht="15" customHeight="1" x14ac:dyDescent="0.25">
      <c r="B232" s="35"/>
      <c r="C232" s="45"/>
      <c r="D232" s="45" t="s">
        <v>148</v>
      </c>
      <c r="E232" s="103"/>
      <c r="F232" s="45"/>
      <c r="G232" s="103"/>
      <c r="H232" s="45"/>
      <c r="I232" s="103"/>
      <c r="J232" s="45"/>
      <c r="K232" s="103"/>
      <c r="L232" s="45"/>
      <c r="M232" s="103"/>
      <c r="N232" s="45"/>
      <c r="O232" s="40"/>
    </row>
    <row r="233" spans="2:15" ht="7.5" customHeight="1" x14ac:dyDescent="0.25">
      <c r="B233" s="3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0"/>
    </row>
    <row r="234" spans="2:15" ht="15" customHeight="1" x14ac:dyDescent="0.25">
      <c r="B234" s="35"/>
      <c r="C234" s="45"/>
      <c r="D234" s="45" t="s">
        <v>147</v>
      </c>
      <c r="E234" s="103"/>
      <c r="F234" s="45"/>
      <c r="G234" s="103"/>
      <c r="H234" s="45"/>
      <c r="I234" s="103"/>
      <c r="J234" s="45"/>
      <c r="K234" s="103"/>
      <c r="L234" s="45"/>
      <c r="M234" s="103"/>
      <c r="N234" s="45"/>
      <c r="O234" s="40"/>
    </row>
    <row r="235" spans="2:15" ht="7.5" customHeight="1" x14ac:dyDescent="0.25">
      <c r="B235" s="3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0"/>
    </row>
    <row r="236" spans="2:15" x14ac:dyDescent="0.25">
      <c r="B236" s="35"/>
      <c r="C236" s="45"/>
      <c r="D236" s="67" t="s">
        <v>146</v>
      </c>
      <c r="E236" s="103"/>
      <c r="F236" s="45"/>
      <c r="G236" s="103"/>
      <c r="H236" s="45"/>
      <c r="I236" s="103"/>
      <c r="J236" s="45"/>
      <c r="K236" s="103"/>
      <c r="L236" s="45"/>
      <c r="M236" s="103"/>
      <c r="N236" s="45"/>
      <c r="O236" s="40"/>
    </row>
    <row r="237" spans="2:15" ht="7.5" customHeight="1" x14ac:dyDescent="0.25">
      <c r="B237" s="3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0"/>
    </row>
    <row r="238" spans="2:15" x14ac:dyDescent="0.25">
      <c r="B238" s="35"/>
      <c r="C238" s="45"/>
      <c r="D238" s="67" t="s">
        <v>463</v>
      </c>
      <c r="E238" s="103"/>
      <c r="F238" s="45"/>
      <c r="G238" s="103"/>
      <c r="H238" s="45"/>
      <c r="I238" s="103"/>
      <c r="J238" s="45"/>
      <c r="K238" s="103"/>
      <c r="L238" s="45"/>
      <c r="M238" s="103"/>
      <c r="N238" s="45"/>
      <c r="O238" s="40"/>
    </row>
    <row r="239" spans="2:15" ht="7.5" customHeight="1" x14ac:dyDescent="0.25">
      <c r="B239" s="3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0"/>
    </row>
    <row r="240" spans="2:15" x14ac:dyDescent="0.25">
      <c r="B240" s="35"/>
      <c r="C240" s="45"/>
      <c r="D240" s="45" t="s">
        <v>194</v>
      </c>
      <c r="E240" s="100"/>
      <c r="F240" s="45"/>
      <c r="G240" s="100"/>
      <c r="H240" s="45"/>
      <c r="I240" s="100"/>
      <c r="J240" s="45"/>
      <c r="K240" s="100"/>
      <c r="L240" s="45"/>
      <c r="M240" s="100"/>
      <c r="N240" s="45"/>
      <c r="O240" s="40"/>
    </row>
    <row r="241" spans="2:15" x14ac:dyDescent="0.25">
      <c r="B241" s="35"/>
      <c r="C241" s="45"/>
      <c r="D241" s="45"/>
      <c r="E241" s="98"/>
      <c r="F241" s="45"/>
      <c r="G241" s="98"/>
      <c r="H241" s="45"/>
      <c r="I241" s="98"/>
      <c r="J241" s="45"/>
      <c r="K241" s="98"/>
      <c r="L241" s="45"/>
      <c r="M241" s="98"/>
      <c r="N241" s="45"/>
      <c r="O241" s="40"/>
    </row>
    <row r="242" spans="2:15" ht="6.75" customHeight="1" x14ac:dyDescent="0.25">
      <c r="B242" s="3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0"/>
    </row>
    <row r="243" spans="2:15" x14ac:dyDescent="0.25">
      <c r="B243" s="35"/>
      <c r="C243" s="45"/>
      <c r="D243" s="45" t="s">
        <v>277</v>
      </c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0"/>
    </row>
    <row r="244" spans="2:15" ht="6.75" customHeight="1" x14ac:dyDescent="0.25">
      <c r="B244" s="3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0"/>
    </row>
    <row r="245" spans="2:15" x14ac:dyDescent="0.25">
      <c r="B245" s="35"/>
      <c r="C245" s="45"/>
      <c r="D245" s="45" t="s">
        <v>145</v>
      </c>
      <c r="E245" s="103"/>
      <c r="F245" s="45"/>
      <c r="G245" s="45"/>
      <c r="H245" s="45"/>
      <c r="I245" s="45"/>
      <c r="J245" s="45"/>
      <c r="K245" s="45"/>
      <c r="L245" s="45"/>
      <c r="M245" s="45"/>
      <c r="N245" s="45"/>
      <c r="O245" s="40"/>
    </row>
    <row r="246" spans="2:15" ht="7.5" customHeight="1" x14ac:dyDescent="0.25">
      <c r="B246" s="3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0"/>
    </row>
    <row r="247" spans="2:15" ht="15" customHeight="1" x14ac:dyDescent="0.25">
      <c r="B247" s="35"/>
      <c r="C247" s="45"/>
      <c r="D247" s="45"/>
      <c r="E247" s="45" t="s">
        <v>168</v>
      </c>
      <c r="F247" s="45"/>
      <c r="G247" s="45" t="s">
        <v>169</v>
      </c>
      <c r="H247" s="45"/>
      <c r="I247" s="45" t="s">
        <v>170</v>
      </c>
      <c r="J247" s="45"/>
      <c r="K247" s="45" t="s">
        <v>171</v>
      </c>
      <c r="L247" s="45"/>
      <c r="M247" s="45" t="s">
        <v>172</v>
      </c>
      <c r="N247" s="45"/>
      <c r="O247" s="40"/>
    </row>
    <row r="248" spans="2:15" ht="15" customHeight="1" x14ac:dyDescent="0.25">
      <c r="B248" s="35"/>
      <c r="C248" s="45"/>
      <c r="D248" s="45" t="s">
        <v>187</v>
      </c>
      <c r="E248" s="103"/>
      <c r="F248" s="45"/>
      <c r="G248" s="103"/>
      <c r="H248" s="45"/>
      <c r="I248" s="103"/>
      <c r="J248" s="45"/>
      <c r="K248" s="103"/>
      <c r="L248" s="45"/>
      <c r="M248" s="103"/>
      <c r="N248" s="98"/>
      <c r="O248" s="40"/>
    </row>
    <row r="249" spans="2:15" ht="7.5" customHeight="1" x14ac:dyDescent="0.25">
      <c r="B249" s="3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0"/>
    </row>
    <row r="250" spans="2:15" ht="15" customHeight="1" x14ac:dyDescent="0.25">
      <c r="B250" s="35"/>
      <c r="C250" s="45"/>
      <c r="D250" s="45" t="s">
        <v>148</v>
      </c>
      <c r="E250" s="103"/>
      <c r="F250" s="45"/>
      <c r="G250" s="103"/>
      <c r="H250" s="45"/>
      <c r="I250" s="103"/>
      <c r="J250" s="45"/>
      <c r="K250" s="103"/>
      <c r="L250" s="45"/>
      <c r="M250" s="103"/>
      <c r="N250" s="45"/>
      <c r="O250" s="40"/>
    </row>
    <row r="251" spans="2:15" ht="7.5" customHeight="1" x14ac:dyDescent="0.25">
      <c r="B251" s="3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0"/>
    </row>
    <row r="252" spans="2:15" ht="15" customHeight="1" x14ac:dyDescent="0.25">
      <c r="B252" s="35"/>
      <c r="C252" s="45"/>
      <c r="D252" s="45" t="s">
        <v>147</v>
      </c>
      <c r="E252" s="103"/>
      <c r="F252" s="45"/>
      <c r="G252" s="103"/>
      <c r="H252" s="45"/>
      <c r="I252" s="103"/>
      <c r="J252" s="45"/>
      <c r="K252" s="103"/>
      <c r="L252" s="45"/>
      <c r="M252" s="103"/>
      <c r="N252" s="45"/>
      <c r="O252" s="40"/>
    </row>
    <row r="253" spans="2:15" ht="7.5" customHeight="1" x14ac:dyDescent="0.25">
      <c r="B253" s="3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0"/>
    </row>
    <row r="254" spans="2:15" x14ac:dyDescent="0.25">
      <c r="B254" s="35"/>
      <c r="C254" s="45"/>
      <c r="D254" s="67" t="s">
        <v>146</v>
      </c>
      <c r="E254" s="103"/>
      <c r="F254" s="45"/>
      <c r="G254" s="103"/>
      <c r="H254" s="45"/>
      <c r="I254" s="103"/>
      <c r="J254" s="45"/>
      <c r="K254" s="103"/>
      <c r="L254" s="45"/>
      <c r="M254" s="103"/>
      <c r="N254" s="45"/>
      <c r="O254" s="40"/>
    </row>
    <row r="255" spans="2:15" ht="7.5" customHeight="1" x14ac:dyDescent="0.25">
      <c r="B255" s="3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0"/>
    </row>
    <row r="256" spans="2:15" x14ac:dyDescent="0.25">
      <c r="B256" s="35"/>
      <c r="C256" s="45"/>
      <c r="D256" s="67" t="s">
        <v>463</v>
      </c>
      <c r="E256" s="103"/>
      <c r="F256" s="45"/>
      <c r="G256" s="103"/>
      <c r="H256" s="45"/>
      <c r="I256" s="103"/>
      <c r="J256" s="45"/>
      <c r="K256" s="103"/>
      <c r="L256" s="45"/>
      <c r="M256" s="103"/>
      <c r="N256" s="45"/>
      <c r="O256" s="40"/>
    </row>
    <row r="257" spans="2:15" ht="7.5" customHeight="1" x14ac:dyDescent="0.25">
      <c r="B257" s="3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0"/>
    </row>
    <row r="258" spans="2:15" x14ac:dyDescent="0.25">
      <c r="B258" s="35"/>
      <c r="C258" s="45"/>
      <c r="D258" s="45" t="s">
        <v>194</v>
      </c>
      <c r="E258" s="100"/>
      <c r="F258" s="45"/>
      <c r="G258" s="100"/>
      <c r="H258" s="45"/>
      <c r="I258" s="100"/>
      <c r="J258" s="45"/>
      <c r="K258" s="100"/>
      <c r="L258" s="45"/>
      <c r="M258" s="100"/>
      <c r="N258" s="45"/>
      <c r="O258" s="40"/>
    </row>
    <row r="259" spans="2:15" x14ac:dyDescent="0.25">
      <c r="B259" s="3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0"/>
    </row>
    <row r="260" spans="2:15" ht="15.75" thickBot="1" x14ac:dyDescent="0.3">
      <c r="B260" s="36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40"/>
    </row>
    <row r="261" spans="2:15" x14ac:dyDescent="0.25">
      <c r="B261" s="84"/>
      <c r="C261" s="84"/>
      <c r="D261" s="84"/>
      <c r="E261" s="84"/>
      <c r="F261" s="84"/>
      <c r="G261" s="84"/>
      <c r="H261" s="84"/>
      <c r="I261" s="84"/>
      <c r="J261" s="84"/>
      <c r="K261" s="84"/>
      <c r="L261" s="84"/>
      <c r="M261" s="53"/>
      <c r="N261" s="53"/>
      <c r="O261" s="84"/>
    </row>
    <row r="262" spans="2:15" x14ac:dyDescent="0.25">
      <c r="B262" s="84"/>
      <c r="C262" s="84"/>
      <c r="D262" s="84"/>
      <c r="E262" s="84"/>
      <c r="F262" s="84"/>
      <c r="G262" s="84"/>
      <c r="H262" s="84"/>
      <c r="I262" s="84"/>
      <c r="J262" s="84"/>
      <c r="K262" s="84"/>
      <c r="L262" s="84"/>
      <c r="M262" s="53"/>
      <c r="N262" s="53"/>
      <c r="O262" s="84"/>
    </row>
    <row r="263" spans="2:15" x14ac:dyDescent="0.25">
      <c r="B263" s="84"/>
      <c r="C263" s="84"/>
      <c r="D263" s="84"/>
      <c r="E263" s="84"/>
      <c r="F263" s="84"/>
      <c r="G263" s="84"/>
      <c r="H263" s="84"/>
      <c r="I263" s="84"/>
      <c r="J263" s="84"/>
      <c r="K263" s="84"/>
      <c r="L263" s="84"/>
      <c r="M263" s="53"/>
      <c r="N263" s="53"/>
      <c r="O263" s="84"/>
    </row>
    <row r="264" spans="2:15" x14ac:dyDescent="0.25">
      <c r="B264" s="84"/>
      <c r="C264" s="84"/>
      <c r="D264" s="84"/>
      <c r="E264" s="84"/>
      <c r="F264" s="84"/>
      <c r="G264" s="84"/>
      <c r="H264" s="84"/>
      <c r="I264" s="84"/>
      <c r="J264" s="84"/>
      <c r="K264" s="84"/>
      <c r="L264" s="84"/>
      <c r="M264" s="53"/>
      <c r="N264" s="53"/>
      <c r="O264" s="84"/>
    </row>
    <row r="265" spans="2:15" x14ac:dyDescent="0.25">
      <c r="B265" s="84"/>
      <c r="C265" s="84"/>
      <c r="D265" s="84"/>
      <c r="E265" s="84"/>
      <c r="F265" s="84"/>
      <c r="G265" s="84"/>
      <c r="H265" s="84"/>
      <c r="I265" s="84"/>
      <c r="J265" s="84"/>
      <c r="K265" s="84"/>
      <c r="L265" s="84"/>
      <c r="M265" s="53"/>
      <c r="N265" s="53"/>
      <c r="O265" s="84"/>
    </row>
    <row r="266" spans="2:15" x14ac:dyDescent="0.25">
      <c r="B266" s="84"/>
      <c r="C266" s="84"/>
      <c r="D266" s="84"/>
      <c r="E266" s="84"/>
      <c r="F266" s="84"/>
      <c r="G266" s="84"/>
      <c r="H266" s="84"/>
      <c r="I266" s="84"/>
      <c r="J266" s="84"/>
      <c r="K266" s="84"/>
      <c r="L266" s="84"/>
      <c r="M266" s="53"/>
      <c r="N266" s="53"/>
      <c r="O266" s="84"/>
    </row>
    <row r="267" spans="2:15" x14ac:dyDescent="0.25">
      <c r="B267" s="84"/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53"/>
      <c r="N267" s="53"/>
      <c r="O267" s="84"/>
    </row>
    <row r="268" spans="2:15" x14ac:dyDescent="0.25">
      <c r="B268" s="84"/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53"/>
      <c r="N268" s="53"/>
      <c r="O268" s="84"/>
    </row>
    <row r="269" spans="2:15" x14ac:dyDescent="0.25">
      <c r="B269" s="84"/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53"/>
      <c r="N269" s="53"/>
      <c r="O269" s="84"/>
    </row>
    <row r="270" spans="2:15" x14ac:dyDescent="0.25">
      <c r="B270" s="84"/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53"/>
      <c r="N270" s="53"/>
      <c r="O270" s="84"/>
    </row>
    <row r="271" spans="2:15" x14ac:dyDescent="0.25">
      <c r="B271" s="84"/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53"/>
      <c r="N271" s="53"/>
      <c r="O271" s="84"/>
    </row>
    <row r="272" spans="2:15" x14ac:dyDescent="0.25">
      <c r="B272" s="84"/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53"/>
      <c r="N272" s="53"/>
      <c r="O272" s="84"/>
    </row>
    <row r="273" spans="2:15" x14ac:dyDescent="0.25">
      <c r="B273" s="84"/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53"/>
      <c r="N273" s="53"/>
      <c r="O273" s="84"/>
    </row>
    <row r="274" spans="2:15" x14ac:dyDescent="0.25">
      <c r="B274" s="84"/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53"/>
      <c r="N274" s="53"/>
      <c r="O274" s="84"/>
    </row>
    <row r="275" spans="2:15" x14ac:dyDescent="0.25">
      <c r="B275" s="84"/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53"/>
      <c r="N275" s="53"/>
      <c r="O275" s="84"/>
    </row>
    <row r="276" spans="2:15" x14ac:dyDescent="0.25">
      <c r="B276" s="84"/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53"/>
      <c r="N276" s="53"/>
      <c r="O276" s="84"/>
    </row>
    <row r="277" spans="2:15" x14ac:dyDescent="0.25">
      <c r="B277" s="84"/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53"/>
      <c r="N277" s="53"/>
      <c r="O277" s="84"/>
    </row>
    <row r="278" spans="2:15" x14ac:dyDescent="0.25">
      <c r="B278" s="84"/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53"/>
      <c r="N278" s="53"/>
      <c r="O278" s="84"/>
    </row>
    <row r="279" spans="2:15" x14ac:dyDescent="0.25">
      <c r="B279" s="84"/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53"/>
      <c r="N279" s="53"/>
      <c r="O279" s="84"/>
    </row>
    <row r="280" spans="2:15" x14ac:dyDescent="0.25">
      <c r="B280" s="84"/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53"/>
      <c r="N280" s="53"/>
      <c r="O280" s="84"/>
    </row>
    <row r="281" spans="2:15" x14ac:dyDescent="0.25">
      <c r="B281" s="84"/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53"/>
      <c r="N281" s="53"/>
      <c r="O281" s="84"/>
    </row>
    <row r="282" spans="2:15" x14ac:dyDescent="0.25">
      <c r="B282" s="84"/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53"/>
      <c r="N282" s="53"/>
      <c r="O282" s="84"/>
    </row>
    <row r="283" spans="2:15" x14ac:dyDescent="0.25">
      <c r="B283" s="84"/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53"/>
      <c r="N283" s="53"/>
      <c r="O283" s="84"/>
    </row>
    <row r="284" spans="2:15" x14ac:dyDescent="0.25">
      <c r="B284" s="84"/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53"/>
      <c r="N284" s="53"/>
      <c r="O284" s="84"/>
    </row>
    <row r="285" spans="2:15" x14ac:dyDescent="0.25">
      <c r="B285" s="84"/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53"/>
      <c r="N285" s="53"/>
      <c r="O285" s="84"/>
    </row>
    <row r="286" spans="2:15" x14ac:dyDescent="0.25">
      <c r="B286" s="84"/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53"/>
      <c r="N286" s="53"/>
      <c r="O286" s="84"/>
    </row>
    <row r="287" spans="2:15" x14ac:dyDescent="0.25">
      <c r="B287" s="84"/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53"/>
      <c r="N287" s="53"/>
      <c r="O287" s="84"/>
    </row>
    <row r="288" spans="2:15" x14ac:dyDescent="0.25">
      <c r="B288" s="84"/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53"/>
      <c r="N288" s="53"/>
      <c r="O288" s="84"/>
    </row>
    <row r="289" spans="2:15" x14ac:dyDescent="0.25">
      <c r="B289" s="84"/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53"/>
      <c r="N289" s="53"/>
      <c r="O289" s="84"/>
    </row>
    <row r="290" spans="2:15" x14ac:dyDescent="0.25">
      <c r="B290" s="84"/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53"/>
      <c r="N290" s="53"/>
      <c r="O290" s="84"/>
    </row>
    <row r="291" spans="2:15" x14ac:dyDescent="0.25">
      <c r="B291" s="84"/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53"/>
      <c r="N291" s="53"/>
      <c r="O291" s="84"/>
    </row>
    <row r="292" spans="2:15" x14ac:dyDescent="0.25">
      <c r="B292" s="84"/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53"/>
      <c r="N292" s="53"/>
      <c r="O292" s="84"/>
    </row>
    <row r="293" spans="2:15" x14ac:dyDescent="0.25">
      <c r="B293" s="84"/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53"/>
      <c r="N293" s="53"/>
      <c r="O293" s="84"/>
    </row>
    <row r="294" spans="2:15" x14ac:dyDescent="0.25">
      <c r="B294" s="84"/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53"/>
      <c r="N294" s="53"/>
      <c r="O294" s="84"/>
    </row>
    <row r="295" spans="2:15" x14ac:dyDescent="0.25">
      <c r="B295" s="84"/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53"/>
      <c r="N295" s="53"/>
      <c r="O295" s="84"/>
    </row>
    <row r="296" spans="2:15" x14ac:dyDescent="0.25">
      <c r="B296" s="84"/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53"/>
      <c r="N296" s="53"/>
      <c r="O296" s="84"/>
    </row>
    <row r="297" spans="2:15" x14ac:dyDescent="0.25">
      <c r="B297" s="84"/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53"/>
      <c r="N297" s="53"/>
      <c r="O297" s="84"/>
    </row>
    <row r="298" spans="2:15" x14ac:dyDescent="0.25">
      <c r="B298" s="84"/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53"/>
      <c r="N298" s="53"/>
      <c r="O298" s="84"/>
    </row>
    <row r="299" spans="2:15" x14ac:dyDescent="0.25">
      <c r="B299" s="84"/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53"/>
      <c r="N299" s="53"/>
      <c r="O299" s="84"/>
    </row>
    <row r="300" spans="2:15" x14ac:dyDescent="0.25">
      <c r="B300" s="84"/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53"/>
      <c r="N300" s="53"/>
      <c r="O300" s="84"/>
    </row>
    <row r="301" spans="2:15" x14ac:dyDescent="0.25">
      <c r="B301" s="84"/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53"/>
      <c r="N301" s="53"/>
      <c r="O301" s="84"/>
    </row>
    <row r="302" spans="2:15" x14ac:dyDescent="0.25">
      <c r="B302" s="84"/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53"/>
      <c r="N302" s="53"/>
      <c r="O302" s="84"/>
    </row>
    <row r="303" spans="2:15" x14ac:dyDescent="0.25">
      <c r="B303" s="84"/>
      <c r="C303" s="84"/>
      <c r="D303" s="84"/>
      <c r="E303" s="84"/>
      <c r="F303" s="84"/>
      <c r="G303" s="84"/>
      <c r="H303" s="84"/>
      <c r="I303" s="84"/>
      <c r="J303" s="84"/>
      <c r="K303" s="84"/>
      <c r="L303" s="84"/>
      <c r="M303" s="53"/>
      <c r="N303" s="53"/>
      <c r="O303" s="84"/>
    </row>
    <row r="304" spans="2:15" x14ac:dyDescent="0.25">
      <c r="B304" s="84"/>
      <c r="C304" s="84"/>
      <c r="D304" s="84"/>
      <c r="E304" s="84"/>
      <c r="F304" s="84"/>
      <c r="G304" s="84"/>
      <c r="H304" s="84"/>
      <c r="I304" s="84"/>
      <c r="J304" s="84"/>
      <c r="K304" s="84"/>
      <c r="L304" s="84"/>
      <c r="M304" s="53"/>
      <c r="N304" s="53"/>
      <c r="O304" s="84"/>
    </row>
    <row r="305" spans="2:15" x14ac:dyDescent="0.25">
      <c r="B305" s="84"/>
      <c r="C305" s="84"/>
      <c r="D305" s="84"/>
      <c r="E305" s="84"/>
      <c r="F305" s="84"/>
      <c r="G305" s="84"/>
      <c r="H305" s="84"/>
      <c r="I305" s="84"/>
      <c r="J305" s="84"/>
      <c r="K305" s="84"/>
      <c r="L305" s="84"/>
      <c r="M305" s="53"/>
      <c r="N305" s="53"/>
      <c r="O305" s="84"/>
    </row>
    <row r="306" spans="2:15" x14ac:dyDescent="0.25">
      <c r="B306" s="84"/>
      <c r="C306" s="84"/>
      <c r="D306" s="84"/>
      <c r="E306" s="84"/>
      <c r="F306" s="84"/>
      <c r="G306" s="84"/>
      <c r="H306" s="84"/>
      <c r="I306" s="84"/>
      <c r="J306" s="84"/>
      <c r="K306" s="84"/>
      <c r="L306" s="84"/>
      <c r="M306" s="53"/>
      <c r="N306" s="53"/>
      <c r="O306" s="84"/>
    </row>
    <row r="307" spans="2:15" x14ac:dyDescent="0.25">
      <c r="B307" s="84"/>
      <c r="C307" s="84"/>
      <c r="D307" s="84"/>
      <c r="E307" s="84"/>
      <c r="F307" s="84"/>
      <c r="G307" s="84"/>
      <c r="H307" s="84"/>
      <c r="I307" s="84"/>
      <c r="J307" s="84"/>
      <c r="K307" s="84"/>
      <c r="L307" s="84"/>
      <c r="M307" s="53"/>
      <c r="N307" s="53"/>
      <c r="O307" s="84"/>
    </row>
    <row r="308" spans="2:15" x14ac:dyDescent="0.25">
      <c r="B308" s="84"/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53"/>
      <c r="N308" s="53"/>
      <c r="O308" s="84"/>
    </row>
    <row r="309" spans="2:15" x14ac:dyDescent="0.25">
      <c r="B309" s="84"/>
      <c r="C309" s="84"/>
      <c r="D309" s="84"/>
      <c r="E309" s="84"/>
      <c r="F309" s="84"/>
      <c r="G309" s="84"/>
      <c r="H309" s="84"/>
      <c r="I309" s="84"/>
      <c r="J309" s="84"/>
      <c r="K309" s="84"/>
      <c r="L309" s="84"/>
      <c r="M309" s="53"/>
      <c r="N309" s="53"/>
      <c r="O309" s="84"/>
    </row>
    <row r="310" spans="2:15" x14ac:dyDescent="0.25">
      <c r="B310" s="84"/>
      <c r="C310" s="84"/>
      <c r="D310" s="84"/>
      <c r="E310" s="84"/>
      <c r="F310" s="84"/>
      <c r="G310" s="84"/>
      <c r="H310" s="84"/>
      <c r="I310" s="84"/>
      <c r="J310" s="84"/>
      <c r="K310" s="84"/>
      <c r="L310" s="84"/>
      <c r="M310" s="53"/>
      <c r="N310" s="53"/>
      <c r="O310" s="84"/>
    </row>
    <row r="311" spans="2:15" x14ac:dyDescent="0.25">
      <c r="B311" s="84"/>
      <c r="C311" s="84"/>
      <c r="D311" s="84"/>
      <c r="E311" s="84"/>
      <c r="F311" s="84"/>
      <c r="G311" s="84"/>
      <c r="H311" s="84"/>
      <c r="I311" s="84"/>
      <c r="J311" s="84"/>
      <c r="K311" s="84"/>
      <c r="L311" s="84"/>
      <c r="M311" s="53"/>
      <c r="N311" s="53"/>
      <c r="O311" s="84"/>
    </row>
    <row r="312" spans="2:15" x14ac:dyDescent="0.25">
      <c r="B312" s="84"/>
      <c r="C312" s="84"/>
      <c r="D312" s="84"/>
      <c r="E312" s="84"/>
      <c r="F312" s="84"/>
      <c r="G312" s="84"/>
      <c r="H312" s="84"/>
      <c r="I312" s="84"/>
      <c r="J312" s="84"/>
      <c r="K312" s="84"/>
      <c r="L312" s="84"/>
      <c r="M312" s="53"/>
      <c r="N312" s="53"/>
      <c r="O312" s="84"/>
    </row>
    <row r="313" spans="2:15" x14ac:dyDescent="0.25">
      <c r="B313" s="84"/>
      <c r="C313" s="84"/>
      <c r="D313" s="84"/>
      <c r="E313" s="84"/>
      <c r="F313" s="84"/>
      <c r="G313" s="84"/>
      <c r="H313" s="84"/>
      <c r="I313" s="84"/>
      <c r="J313" s="84"/>
      <c r="K313" s="84"/>
      <c r="L313" s="84"/>
      <c r="M313" s="53"/>
      <c r="N313" s="53"/>
      <c r="O313" s="84"/>
    </row>
    <row r="314" spans="2:15" x14ac:dyDescent="0.25">
      <c r="B314" s="84"/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53"/>
      <c r="N314" s="53"/>
      <c r="O314" s="84"/>
    </row>
    <row r="315" spans="2:15" x14ac:dyDescent="0.25">
      <c r="B315" s="84"/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53"/>
      <c r="N315" s="53"/>
      <c r="O315" s="84"/>
    </row>
    <row r="316" spans="2:15" x14ac:dyDescent="0.25">
      <c r="B316" s="84"/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53"/>
      <c r="N316" s="53"/>
      <c r="O316" s="84"/>
    </row>
    <row r="317" spans="2:15" x14ac:dyDescent="0.25">
      <c r="B317" s="84"/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53"/>
      <c r="N317" s="53"/>
      <c r="O317" s="84"/>
    </row>
    <row r="318" spans="2:15" x14ac:dyDescent="0.25">
      <c r="B318" s="84"/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53"/>
      <c r="N318" s="53"/>
      <c r="O318" s="84"/>
    </row>
    <row r="319" spans="2:15" x14ac:dyDescent="0.25">
      <c r="B319" s="84"/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53"/>
      <c r="N319" s="53"/>
      <c r="O319" s="84"/>
    </row>
    <row r="320" spans="2:15" x14ac:dyDescent="0.25">
      <c r="B320" s="84"/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53"/>
      <c r="N320" s="53"/>
      <c r="O320" s="84"/>
    </row>
    <row r="321" spans="2:15" x14ac:dyDescent="0.25">
      <c r="B321" s="84"/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53"/>
      <c r="N321" s="53"/>
      <c r="O321" s="84"/>
    </row>
    <row r="322" spans="2:15" x14ac:dyDescent="0.25">
      <c r="B322" s="84"/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53"/>
      <c r="N322" s="53"/>
      <c r="O322" s="84"/>
    </row>
    <row r="323" spans="2:15" x14ac:dyDescent="0.25">
      <c r="B323" s="84"/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53"/>
      <c r="N323" s="53"/>
      <c r="O323" s="84"/>
    </row>
    <row r="324" spans="2:15" x14ac:dyDescent="0.25">
      <c r="B324" s="84"/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53"/>
      <c r="N324" s="53"/>
      <c r="O324" s="84"/>
    </row>
    <row r="325" spans="2:15" x14ac:dyDescent="0.25">
      <c r="B325" s="84"/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53"/>
      <c r="N325" s="53"/>
      <c r="O325" s="84"/>
    </row>
    <row r="326" spans="2:15" x14ac:dyDescent="0.25">
      <c r="B326" s="84"/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53"/>
      <c r="N326" s="53"/>
      <c r="O326" s="84"/>
    </row>
    <row r="327" spans="2:15" x14ac:dyDescent="0.25">
      <c r="B327" s="84"/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53"/>
      <c r="N327" s="53"/>
      <c r="O327" s="84"/>
    </row>
    <row r="328" spans="2:15" x14ac:dyDescent="0.25">
      <c r="B328" s="84"/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53"/>
      <c r="N328" s="53"/>
      <c r="O328" s="84"/>
    </row>
    <row r="329" spans="2:15" x14ac:dyDescent="0.25">
      <c r="B329" s="84"/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53"/>
      <c r="N329" s="53"/>
      <c r="O329" s="84"/>
    </row>
    <row r="330" spans="2:15" x14ac:dyDescent="0.25">
      <c r="B330" s="84"/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53"/>
      <c r="N330" s="53"/>
      <c r="O330" s="84"/>
    </row>
    <row r="331" spans="2:15" x14ac:dyDescent="0.25">
      <c r="B331" s="84"/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53"/>
      <c r="N331" s="53"/>
      <c r="O331" s="84"/>
    </row>
    <row r="332" spans="2:15" x14ac:dyDescent="0.25">
      <c r="B332" s="84"/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53"/>
      <c r="N332" s="53"/>
      <c r="O332" s="84"/>
    </row>
    <row r="333" spans="2:15" x14ac:dyDescent="0.25">
      <c r="B333" s="84"/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53"/>
      <c r="N333" s="53"/>
      <c r="O333" s="84"/>
    </row>
    <row r="334" spans="2:15" x14ac:dyDescent="0.25">
      <c r="B334" s="84"/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53"/>
      <c r="N334" s="53"/>
      <c r="O334" s="84"/>
    </row>
    <row r="335" spans="2:15" x14ac:dyDescent="0.25">
      <c r="B335" s="84"/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53"/>
      <c r="N335" s="53"/>
      <c r="O335" s="84"/>
    </row>
    <row r="336" spans="2:15" x14ac:dyDescent="0.25">
      <c r="B336" s="84"/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53"/>
      <c r="N336" s="53"/>
      <c r="O336" s="84"/>
    </row>
    <row r="337" spans="2:15" x14ac:dyDescent="0.25">
      <c r="B337" s="84"/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53"/>
      <c r="N337" s="53"/>
      <c r="O337" s="84"/>
    </row>
    <row r="338" spans="2:15" x14ac:dyDescent="0.25">
      <c r="B338" s="84"/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53"/>
      <c r="N338" s="53"/>
      <c r="O338" s="84"/>
    </row>
    <row r="339" spans="2:15" x14ac:dyDescent="0.25">
      <c r="B339" s="84"/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53"/>
      <c r="N339" s="53"/>
      <c r="O339" s="84"/>
    </row>
    <row r="340" spans="2:15" x14ac:dyDescent="0.25">
      <c r="B340" s="84"/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53"/>
      <c r="N340" s="53"/>
      <c r="O340" s="84"/>
    </row>
    <row r="341" spans="2:15" x14ac:dyDescent="0.25">
      <c r="B341" s="84"/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53"/>
      <c r="N341" s="53"/>
      <c r="O341" s="84"/>
    </row>
    <row r="342" spans="2:15" x14ac:dyDescent="0.25">
      <c r="B342" s="84"/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53"/>
      <c r="N342" s="53"/>
      <c r="O342" s="84"/>
    </row>
    <row r="343" spans="2:15" x14ac:dyDescent="0.25">
      <c r="B343" s="84"/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53"/>
      <c r="N343" s="53"/>
      <c r="O343" s="84"/>
    </row>
    <row r="344" spans="2:15" x14ac:dyDescent="0.25">
      <c r="B344" s="84"/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53"/>
      <c r="N344" s="53"/>
      <c r="O344" s="84"/>
    </row>
    <row r="345" spans="2:15" x14ac:dyDescent="0.25">
      <c r="B345" s="84"/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53"/>
      <c r="N345" s="53"/>
      <c r="O345" s="84"/>
    </row>
    <row r="346" spans="2:15" x14ac:dyDescent="0.25">
      <c r="B346" s="84"/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53"/>
      <c r="N346" s="53"/>
      <c r="O346" s="84"/>
    </row>
    <row r="347" spans="2:15" x14ac:dyDescent="0.25">
      <c r="B347" s="84"/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53"/>
      <c r="N347" s="53"/>
      <c r="O347" s="84"/>
    </row>
    <row r="348" spans="2:15" x14ac:dyDescent="0.25">
      <c r="B348" s="84"/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53"/>
      <c r="N348" s="53"/>
      <c r="O348" s="84"/>
    </row>
    <row r="349" spans="2:15" x14ac:dyDescent="0.25">
      <c r="B349" s="84"/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53"/>
      <c r="N349" s="53"/>
      <c r="O349" s="84"/>
    </row>
    <row r="350" spans="2:15" x14ac:dyDescent="0.25">
      <c r="B350" s="84"/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53"/>
      <c r="N350" s="53"/>
      <c r="O350" s="84"/>
    </row>
    <row r="351" spans="2:15" x14ac:dyDescent="0.25">
      <c r="B351" s="84"/>
      <c r="C351" s="84"/>
      <c r="D351" s="84"/>
      <c r="E351" s="84"/>
      <c r="F351" s="84"/>
      <c r="G351" s="84"/>
      <c r="H351" s="84"/>
      <c r="I351" s="84"/>
      <c r="J351" s="84"/>
      <c r="K351" s="84"/>
      <c r="L351" s="84"/>
      <c r="M351" s="53"/>
      <c r="N351" s="53"/>
      <c r="O351" s="84"/>
    </row>
    <row r="352" spans="2:15" x14ac:dyDescent="0.25">
      <c r="B352" s="84"/>
      <c r="C352" s="84"/>
      <c r="D352" s="84"/>
      <c r="E352" s="84"/>
      <c r="F352" s="84"/>
      <c r="G352" s="84"/>
      <c r="H352" s="84"/>
      <c r="I352" s="84"/>
      <c r="J352" s="84"/>
      <c r="K352" s="84"/>
      <c r="L352" s="84"/>
      <c r="M352" s="53"/>
      <c r="N352" s="53"/>
      <c r="O352" s="84"/>
    </row>
    <row r="353" spans="2:15" x14ac:dyDescent="0.25">
      <c r="B353" s="84"/>
      <c r="C353" s="84"/>
      <c r="D353" s="84"/>
      <c r="E353" s="84"/>
      <c r="F353" s="84"/>
      <c r="G353" s="84"/>
      <c r="H353" s="84"/>
      <c r="I353" s="84"/>
      <c r="J353" s="84"/>
      <c r="K353" s="84"/>
      <c r="L353" s="84"/>
      <c r="M353" s="53"/>
      <c r="N353" s="53"/>
      <c r="O353" s="84"/>
    </row>
    <row r="354" spans="2:15" x14ac:dyDescent="0.25">
      <c r="B354" s="84"/>
      <c r="C354" s="84"/>
      <c r="D354" s="84"/>
      <c r="E354" s="84"/>
      <c r="F354" s="84"/>
      <c r="G354" s="84"/>
      <c r="H354" s="84"/>
      <c r="I354" s="84"/>
      <c r="J354" s="84"/>
      <c r="K354" s="84"/>
      <c r="L354" s="84"/>
      <c r="M354" s="53"/>
      <c r="N354" s="53"/>
      <c r="O354" s="84"/>
    </row>
    <row r="355" spans="2:15" x14ac:dyDescent="0.25">
      <c r="B355" s="84"/>
      <c r="C355" s="84"/>
      <c r="D355" s="84"/>
      <c r="E355" s="84"/>
      <c r="F355" s="84"/>
      <c r="G355" s="84"/>
      <c r="H355" s="84"/>
      <c r="I355" s="84"/>
      <c r="J355" s="84"/>
      <c r="K355" s="84"/>
      <c r="L355" s="84"/>
      <c r="M355" s="53"/>
      <c r="N355" s="53"/>
      <c r="O355" s="84"/>
    </row>
    <row r="356" spans="2:15" x14ac:dyDescent="0.25">
      <c r="B356" s="84"/>
      <c r="C356" s="84"/>
      <c r="D356" s="84"/>
      <c r="E356" s="84"/>
      <c r="F356" s="84"/>
      <c r="G356" s="84"/>
      <c r="H356" s="84"/>
      <c r="I356" s="84"/>
      <c r="J356" s="84"/>
      <c r="K356" s="84"/>
      <c r="L356" s="84"/>
      <c r="M356" s="53"/>
      <c r="N356" s="53"/>
      <c r="O356" s="84"/>
    </row>
    <row r="357" spans="2:15" x14ac:dyDescent="0.25">
      <c r="B357" s="84"/>
      <c r="C357" s="84"/>
      <c r="D357" s="84"/>
      <c r="E357" s="84"/>
      <c r="F357" s="84"/>
      <c r="G357" s="84"/>
      <c r="H357" s="84"/>
      <c r="I357" s="84"/>
      <c r="J357" s="84"/>
      <c r="K357" s="84"/>
      <c r="L357" s="84"/>
      <c r="M357" s="53"/>
      <c r="N357" s="53"/>
      <c r="O357" s="84"/>
    </row>
    <row r="358" spans="2:15" x14ac:dyDescent="0.25">
      <c r="B358" s="84"/>
      <c r="C358" s="84"/>
      <c r="D358" s="84"/>
      <c r="E358" s="84"/>
      <c r="F358" s="84"/>
      <c r="G358" s="84"/>
      <c r="H358" s="84"/>
      <c r="I358" s="84"/>
      <c r="J358" s="84"/>
      <c r="K358" s="84"/>
      <c r="L358" s="84"/>
      <c r="M358" s="53"/>
      <c r="N358" s="53"/>
      <c r="O358" s="84"/>
    </row>
    <row r="359" spans="2:15" x14ac:dyDescent="0.25">
      <c r="B359" s="84"/>
      <c r="C359" s="84"/>
      <c r="D359" s="84"/>
      <c r="E359" s="84"/>
      <c r="F359" s="84"/>
      <c r="G359" s="84"/>
      <c r="H359" s="84"/>
      <c r="I359" s="84"/>
      <c r="J359" s="84"/>
      <c r="K359" s="84"/>
      <c r="L359" s="84"/>
      <c r="M359" s="53"/>
      <c r="N359" s="53"/>
      <c r="O359" s="84"/>
    </row>
    <row r="360" spans="2:15" x14ac:dyDescent="0.25">
      <c r="B360" s="84"/>
      <c r="C360" s="84"/>
      <c r="D360" s="84"/>
      <c r="E360" s="84"/>
      <c r="F360" s="84"/>
      <c r="G360" s="84"/>
      <c r="H360" s="84"/>
      <c r="I360" s="84"/>
      <c r="J360" s="84"/>
      <c r="K360" s="84"/>
      <c r="L360" s="84"/>
      <c r="M360" s="53"/>
      <c r="N360" s="53"/>
      <c r="O360" s="84"/>
    </row>
    <row r="361" spans="2:15" x14ac:dyDescent="0.25">
      <c r="B361" s="84"/>
      <c r="C361" s="84"/>
      <c r="D361" s="84"/>
      <c r="E361" s="84"/>
      <c r="F361" s="84"/>
      <c r="G361" s="84"/>
      <c r="H361" s="84"/>
      <c r="I361" s="84"/>
      <c r="J361" s="84"/>
      <c r="K361" s="84"/>
      <c r="L361" s="84"/>
      <c r="M361" s="53"/>
      <c r="N361" s="53"/>
      <c r="O361" s="84"/>
    </row>
    <row r="362" spans="2:15" x14ac:dyDescent="0.25">
      <c r="B362" s="84"/>
      <c r="C362" s="84"/>
      <c r="D362" s="84"/>
      <c r="E362" s="84"/>
      <c r="F362" s="84"/>
      <c r="G362" s="84"/>
      <c r="H362" s="84"/>
      <c r="I362" s="84"/>
      <c r="J362" s="84"/>
      <c r="K362" s="84"/>
      <c r="L362" s="84"/>
      <c r="M362" s="53"/>
      <c r="N362" s="53"/>
      <c r="O362" s="84"/>
    </row>
    <row r="363" spans="2:15" x14ac:dyDescent="0.25">
      <c r="B363" s="84"/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53"/>
      <c r="N363" s="53"/>
      <c r="O363" s="84"/>
    </row>
    <row r="364" spans="2:15" x14ac:dyDescent="0.25">
      <c r="B364" s="84"/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53"/>
      <c r="N364" s="53"/>
      <c r="O364" s="84"/>
    </row>
    <row r="365" spans="2:15" x14ac:dyDescent="0.25">
      <c r="B365" s="84"/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53"/>
      <c r="N365" s="53"/>
      <c r="O365" s="84"/>
    </row>
    <row r="366" spans="2:15" x14ac:dyDescent="0.25">
      <c r="B366" s="84"/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53"/>
      <c r="N366" s="53"/>
      <c r="O366" s="84"/>
    </row>
    <row r="367" spans="2:15" x14ac:dyDescent="0.25">
      <c r="B367" s="84"/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53"/>
      <c r="N367" s="53"/>
      <c r="O367" s="84"/>
    </row>
    <row r="368" spans="2:15" x14ac:dyDescent="0.25">
      <c r="B368" s="84"/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53"/>
      <c r="N368" s="53"/>
      <c r="O368" s="84"/>
    </row>
    <row r="369" spans="2:15" x14ac:dyDescent="0.25">
      <c r="B369" s="84"/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53"/>
      <c r="N369" s="53"/>
      <c r="O369" s="84"/>
    </row>
    <row r="370" spans="2:15" x14ac:dyDescent="0.25">
      <c r="B370" s="84"/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53"/>
      <c r="N370" s="53"/>
      <c r="O370" s="84"/>
    </row>
    <row r="371" spans="2:15" x14ac:dyDescent="0.25">
      <c r="B371" s="84"/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53"/>
      <c r="N371" s="53"/>
      <c r="O371" s="84"/>
    </row>
    <row r="372" spans="2:15" x14ac:dyDescent="0.25">
      <c r="B372" s="84"/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53"/>
      <c r="N372" s="53"/>
      <c r="O372" s="84"/>
    </row>
    <row r="373" spans="2:15" x14ac:dyDescent="0.25">
      <c r="B373" s="84"/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53"/>
      <c r="N373" s="53"/>
      <c r="O373" s="84"/>
    </row>
    <row r="374" spans="2:15" x14ac:dyDescent="0.25">
      <c r="B374" s="84"/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53"/>
      <c r="N374" s="53"/>
      <c r="O374" s="84"/>
    </row>
    <row r="375" spans="2:15" x14ac:dyDescent="0.25">
      <c r="B375" s="84"/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53"/>
      <c r="N375" s="53"/>
      <c r="O375" s="84"/>
    </row>
    <row r="376" spans="2:15" x14ac:dyDescent="0.25">
      <c r="B376" s="84"/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53"/>
      <c r="N376" s="53"/>
      <c r="O376" s="84"/>
    </row>
    <row r="377" spans="2:15" x14ac:dyDescent="0.25">
      <c r="B377" s="84"/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53"/>
      <c r="N377" s="53"/>
      <c r="O377" s="84"/>
    </row>
    <row r="378" spans="2:15" x14ac:dyDescent="0.25">
      <c r="B378" s="84"/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53"/>
      <c r="N378" s="53"/>
      <c r="O378" s="84"/>
    </row>
    <row r="379" spans="2:15" x14ac:dyDescent="0.25">
      <c r="B379" s="84"/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53"/>
      <c r="N379" s="53"/>
      <c r="O379" s="84"/>
    </row>
    <row r="380" spans="2:15" x14ac:dyDescent="0.25">
      <c r="B380" s="84"/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53"/>
      <c r="N380" s="53"/>
      <c r="O380" s="84"/>
    </row>
    <row r="381" spans="2:15" x14ac:dyDescent="0.25">
      <c r="B381" s="84"/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53"/>
      <c r="N381" s="53"/>
      <c r="O381" s="84"/>
    </row>
    <row r="382" spans="2:15" x14ac:dyDescent="0.25">
      <c r="B382" s="84"/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53"/>
      <c r="N382" s="53"/>
      <c r="O382" s="84"/>
    </row>
    <row r="383" spans="2:15" x14ac:dyDescent="0.25">
      <c r="B383" s="84"/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53"/>
      <c r="N383" s="53"/>
      <c r="O383" s="84"/>
    </row>
    <row r="384" spans="2:15" x14ac:dyDescent="0.25">
      <c r="B384" s="84"/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53"/>
      <c r="N384" s="53"/>
      <c r="O384" s="84"/>
    </row>
    <row r="385" spans="2:15" x14ac:dyDescent="0.25">
      <c r="B385" s="84"/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53"/>
      <c r="N385" s="53"/>
      <c r="O385" s="84"/>
    </row>
    <row r="386" spans="2:15" x14ac:dyDescent="0.25">
      <c r="B386" s="84"/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53"/>
      <c r="N386" s="53"/>
      <c r="O386" s="84"/>
    </row>
    <row r="387" spans="2:15" x14ac:dyDescent="0.25">
      <c r="B387" s="84"/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53"/>
      <c r="N387" s="53"/>
      <c r="O387" s="84"/>
    </row>
    <row r="388" spans="2:15" x14ac:dyDescent="0.25">
      <c r="B388" s="84"/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53"/>
      <c r="N388" s="53"/>
      <c r="O388" s="84"/>
    </row>
    <row r="389" spans="2:15" x14ac:dyDescent="0.25">
      <c r="B389" s="84"/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53"/>
      <c r="N389" s="53"/>
      <c r="O389" s="84"/>
    </row>
    <row r="390" spans="2:15" x14ac:dyDescent="0.25">
      <c r="B390" s="84"/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53"/>
      <c r="N390" s="53"/>
      <c r="O390" s="84"/>
    </row>
    <row r="391" spans="2:15" x14ac:dyDescent="0.25">
      <c r="B391" s="84"/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53"/>
      <c r="N391" s="53"/>
      <c r="O391" s="84"/>
    </row>
    <row r="392" spans="2:15" x14ac:dyDescent="0.25">
      <c r="B392" s="84"/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53"/>
      <c r="N392" s="53"/>
      <c r="O392" s="84"/>
    </row>
    <row r="393" spans="2:15" x14ac:dyDescent="0.25">
      <c r="B393" s="84"/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53"/>
      <c r="N393" s="53"/>
      <c r="O393" s="84"/>
    </row>
    <row r="394" spans="2:15" x14ac:dyDescent="0.25">
      <c r="B394" s="84"/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53"/>
      <c r="N394" s="53"/>
      <c r="O394" s="84"/>
    </row>
    <row r="395" spans="2:15" x14ac:dyDescent="0.25">
      <c r="B395" s="84"/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53"/>
      <c r="N395" s="53"/>
      <c r="O395" s="84"/>
    </row>
    <row r="396" spans="2:15" x14ac:dyDescent="0.25">
      <c r="B396" s="84"/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53"/>
      <c r="N396" s="53"/>
      <c r="O396" s="84"/>
    </row>
    <row r="397" spans="2:15" x14ac:dyDescent="0.25">
      <c r="B397" s="84"/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53"/>
      <c r="N397" s="53"/>
      <c r="O397" s="84"/>
    </row>
    <row r="398" spans="2:15" x14ac:dyDescent="0.25">
      <c r="B398" s="84"/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53"/>
      <c r="N398" s="53"/>
      <c r="O398" s="84"/>
    </row>
    <row r="399" spans="2:15" x14ac:dyDescent="0.25">
      <c r="B399" s="84"/>
      <c r="C399" s="84"/>
      <c r="D399" s="84"/>
      <c r="E399" s="84"/>
      <c r="F399" s="84"/>
      <c r="G399" s="84"/>
      <c r="H399" s="84"/>
      <c r="I399" s="84"/>
      <c r="J399" s="84"/>
      <c r="K399" s="84"/>
      <c r="L399" s="84"/>
      <c r="M399" s="53"/>
      <c r="N399" s="53"/>
      <c r="O399" s="84"/>
    </row>
    <row r="400" spans="2:15" x14ac:dyDescent="0.25">
      <c r="B400" s="84"/>
      <c r="C400" s="84"/>
      <c r="D400" s="84"/>
      <c r="E400" s="84"/>
      <c r="F400" s="84"/>
      <c r="G400" s="84"/>
      <c r="H400" s="84"/>
      <c r="I400" s="84"/>
      <c r="J400" s="84"/>
      <c r="K400" s="84"/>
      <c r="L400" s="84"/>
      <c r="M400" s="53"/>
      <c r="N400" s="53"/>
      <c r="O400" s="84"/>
    </row>
    <row r="401" spans="2:15" x14ac:dyDescent="0.25">
      <c r="B401" s="84"/>
      <c r="C401" s="84"/>
      <c r="D401" s="84"/>
      <c r="E401" s="84"/>
      <c r="F401" s="84"/>
      <c r="G401" s="84"/>
      <c r="H401" s="84"/>
      <c r="I401" s="84"/>
      <c r="J401" s="84"/>
      <c r="K401" s="84"/>
      <c r="L401" s="84"/>
      <c r="M401" s="53"/>
      <c r="N401" s="53"/>
      <c r="O401" s="84"/>
    </row>
    <row r="402" spans="2:15" x14ac:dyDescent="0.25">
      <c r="B402" s="84"/>
      <c r="C402" s="84"/>
      <c r="D402" s="84"/>
      <c r="E402" s="84"/>
      <c r="F402" s="84"/>
      <c r="G402" s="84"/>
      <c r="H402" s="84"/>
      <c r="I402" s="84"/>
      <c r="J402" s="84"/>
      <c r="K402" s="84"/>
      <c r="L402" s="84"/>
      <c r="M402" s="53"/>
      <c r="N402" s="53"/>
      <c r="O402" s="84"/>
    </row>
    <row r="403" spans="2:15" x14ac:dyDescent="0.25">
      <c r="B403" s="84"/>
      <c r="C403" s="84"/>
      <c r="D403" s="84"/>
      <c r="E403" s="84"/>
      <c r="F403" s="84"/>
      <c r="G403" s="84"/>
      <c r="H403" s="84"/>
      <c r="I403" s="84"/>
      <c r="J403" s="84"/>
      <c r="K403" s="84"/>
      <c r="L403" s="84"/>
      <c r="M403" s="53"/>
      <c r="N403" s="53"/>
      <c r="O403" s="84"/>
    </row>
    <row r="404" spans="2:15" x14ac:dyDescent="0.25">
      <c r="B404" s="84"/>
      <c r="C404" s="84"/>
      <c r="D404" s="84"/>
      <c r="E404" s="84"/>
      <c r="F404" s="84"/>
      <c r="G404" s="84"/>
      <c r="H404" s="84"/>
      <c r="I404" s="84"/>
      <c r="J404" s="84"/>
      <c r="K404" s="84"/>
      <c r="L404" s="84"/>
      <c r="M404" s="53"/>
      <c r="N404" s="53"/>
      <c r="O404" s="84"/>
    </row>
    <row r="405" spans="2:15" x14ac:dyDescent="0.25">
      <c r="B405" s="84"/>
      <c r="C405" s="84"/>
      <c r="D405" s="84"/>
      <c r="E405" s="84"/>
      <c r="F405" s="84"/>
      <c r="G405" s="84"/>
      <c r="H405" s="84"/>
      <c r="I405" s="84"/>
      <c r="J405" s="84"/>
      <c r="K405" s="84"/>
      <c r="L405" s="84"/>
      <c r="M405" s="53"/>
      <c r="N405" s="53"/>
      <c r="O405" s="84"/>
    </row>
    <row r="406" spans="2:15" x14ac:dyDescent="0.25">
      <c r="B406" s="84"/>
      <c r="C406" s="84"/>
      <c r="D406" s="84"/>
      <c r="E406" s="84"/>
      <c r="F406" s="84"/>
      <c r="G406" s="84"/>
      <c r="H406" s="84"/>
      <c r="I406" s="84"/>
      <c r="J406" s="84"/>
      <c r="K406" s="84"/>
      <c r="L406" s="84"/>
      <c r="M406" s="53"/>
      <c r="N406" s="53"/>
      <c r="O406" s="84"/>
    </row>
    <row r="407" spans="2:15" x14ac:dyDescent="0.25">
      <c r="B407" s="84"/>
      <c r="C407" s="84"/>
      <c r="D407" s="84"/>
      <c r="E407" s="84"/>
      <c r="F407" s="84"/>
      <c r="G407" s="84"/>
      <c r="H407" s="84"/>
      <c r="I407" s="84"/>
      <c r="J407" s="84"/>
      <c r="K407" s="84"/>
      <c r="L407" s="84"/>
      <c r="M407" s="53"/>
      <c r="N407" s="53"/>
      <c r="O407" s="84"/>
    </row>
    <row r="408" spans="2:15" x14ac:dyDescent="0.25">
      <c r="B408" s="84"/>
      <c r="C408" s="84"/>
      <c r="D408" s="84"/>
      <c r="E408" s="84"/>
      <c r="F408" s="84"/>
      <c r="G408" s="84"/>
      <c r="H408" s="84"/>
      <c r="I408" s="84"/>
      <c r="J408" s="84"/>
      <c r="K408" s="84"/>
      <c r="L408" s="84"/>
      <c r="M408" s="53"/>
      <c r="N408" s="53"/>
      <c r="O408" s="84"/>
    </row>
    <row r="409" spans="2:15" x14ac:dyDescent="0.25">
      <c r="B409" s="84"/>
      <c r="C409" s="84"/>
      <c r="D409" s="84"/>
      <c r="E409" s="84"/>
      <c r="F409" s="84"/>
      <c r="G409" s="84"/>
      <c r="H409" s="84"/>
      <c r="I409" s="84"/>
      <c r="J409" s="84"/>
      <c r="K409" s="84"/>
      <c r="L409" s="84"/>
      <c r="M409" s="53"/>
      <c r="N409" s="53"/>
      <c r="O409" s="84"/>
    </row>
    <row r="410" spans="2:15" x14ac:dyDescent="0.25">
      <c r="B410" s="84"/>
      <c r="C410" s="84"/>
      <c r="D410" s="84"/>
      <c r="E410" s="84"/>
      <c r="F410" s="84"/>
      <c r="G410" s="84"/>
      <c r="H410" s="84"/>
      <c r="I410" s="84"/>
      <c r="J410" s="84"/>
      <c r="K410" s="84"/>
      <c r="L410" s="84"/>
      <c r="M410" s="53"/>
      <c r="N410" s="53"/>
      <c r="O410" s="84"/>
    </row>
    <row r="411" spans="2:15" x14ac:dyDescent="0.25">
      <c r="B411" s="84"/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53"/>
      <c r="N411" s="53"/>
      <c r="O411" s="84"/>
    </row>
    <row r="412" spans="2:15" x14ac:dyDescent="0.25">
      <c r="B412" s="84"/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53"/>
      <c r="N412" s="53"/>
      <c r="O412" s="84"/>
    </row>
    <row r="413" spans="2:15" x14ac:dyDescent="0.25">
      <c r="B413" s="84"/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53"/>
      <c r="N413" s="53"/>
      <c r="O413" s="84"/>
    </row>
    <row r="414" spans="2:15" x14ac:dyDescent="0.25">
      <c r="B414" s="84"/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53"/>
      <c r="N414" s="53"/>
      <c r="O414" s="84"/>
    </row>
    <row r="415" spans="2:15" x14ac:dyDescent="0.25">
      <c r="B415" s="84"/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53"/>
      <c r="N415" s="53"/>
      <c r="O415" s="84"/>
    </row>
    <row r="416" spans="2:15" x14ac:dyDescent="0.25">
      <c r="B416" s="84"/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53"/>
      <c r="N416" s="53"/>
      <c r="O416" s="84"/>
    </row>
    <row r="417" spans="2:15" x14ac:dyDescent="0.25">
      <c r="B417" s="84"/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53"/>
      <c r="N417" s="53"/>
      <c r="O417" s="84"/>
    </row>
    <row r="418" spans="2:15" x14ac:dyDescent="0.25">
      <c r="B418" s="84"/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53"/>
      <c r="N418" s="53"/>
      <c r="O418" s="84"/>
    </row>
    <row r="419" spans="2:15" x14ac:dyDescent="0.25">
      <c r="B419" s="84"/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53"/>
      <c r="N419" s="53"/>
      <c r="O419" s="84"/>
    </row>
    <row r="420" spans="2:15" x14ac:dyDescent="0.25">
      <c r="B420" s="84"/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53"/>
      <c r="N420" s="53"/>
      <c r="O420" s="84"/>
    </row>
    <row r="421" spans="2:15" x14ac:dyDescent="0.25">
      <c r="B421" s="84"/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53"/>
      <c r="N421" s="53"/>
      <c r="O421" s="84"/>
    </row>
    <row r="422" spans="2:15" x14ac:dyDescent="0.25">
      <c r="B422" s="84"/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53"/>
      <c r="N422" s="53"/>
      <c r="O422" s="84"/>
    </row>
    <row r="423" spans="2:15" x14ac:dyDescent="0.25">
      <c r="B423" s="84"/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53"/>
      <c r="N423" s="53"/>
      <c r="O423" s="84"/>
    </row>
    <row r="424" spans="2:15" x14ac:dyDescent="0.25">
      <c r="B424" s="84"/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53"/>
      <c r="N424" s="53"/>
      <c r="O424" s="84"/>
    </row>
    <row r="425" spans="2:15" x14ac:dyDescent="0.25">
      <c r="B425" s="84"/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53"/>
      <c r="N425" s="53"/>
      <c r="O425" s="84"/>
    </row>
    <row r="426" spans="2:15" x14ac:dyDescent="0.25">
      <c r="B426" s="84"/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53"/>
      <c r="N426" s="53"/>
      <c r="O426" s="84"/>
    </row>
    <row r="427" spans="2:15" x14ac:dyDescent="0.25">
      <c r="B427" s="84"/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53"/>
      <c r="N427" s="53"/>
      <c r="O427" s="84"/>
    </row>
    <row r="428" spans="2:15" x14ac:dyDescent="0.25">
      <c r="B428" s="84"/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53"/>
      <c r="N428" s="53"/>
      <c r="O428" s="84"/>
    </row>
    <row r="429" spans="2:15" x14ac:dyDescent="0.25">
      <c r="B429" s="84"/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53"/>
      <c r="N429" s="53"/>
      <c r="O429" s="84"/>
    </row>
    <row r="430" spans="2:15" x14ac:dyDescent="0.25">
      <c r="B430" s="84"/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53"/>
      <c r="N430" s="53"/>
      <c r="O430" s="84"/>
    </row>
    <row r="431" spans="2:15" x14ac:dyDescent="0.25">
      <c r="B431" s="84"/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53"/>
      <c r="N431" s="53"/>
      <c r="O431" s="84"/>
    </row>
    <row r="432" spans="2:15" x14ac:dyDescent="0.25">
      <c r="B432" s="84"/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53"/>
      <c r="N432" s="53"/>
      <c r="O432" s="84"/>
    </row>
    <row r="433" spans="2:15" x14ac:dyDescent="0.25">
      <c r="B433" s="84"/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53"/>
      <c r="N433" s="53"/>
      <c r="O433" s="84"/>
    </row>
    <row r="434" spans="2:15" x14ac:dyDescent="0.25">
      <c r="B434" s="84"/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53"/>
      <c r="N434" s="53"/>
      <c r="O434" s="84"/>
    </row>
    <row r="435" spans="2:15" x14ac:dyDescent="0.25">
      <c r="B435" s="84"/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53"/>
      <c r="N435" s="53"/>
      <c r="O435" s="84"/>
    </row>
    <row r="436" spans="2:15" x14ac:dyDescent="0.25">
      <c r="B436" s="84"/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53"/>
      <c r="N436" s="53"/>
      <c r="O436" s="84"/>
    </row>
    <row r="437" spans="2:15" x14ac:dyDescent="0.25">
      <c r="B437" s="84"/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53"/>
      <c r="N437" s="53"/>
      <c r="O437" s="84"/>
    </row>
    <row r="438" spans="2:15" x14ac:dyDescent="0.25">
      <c r="B438" s="84"/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53"/>
      <c r="N438" s="53"/>
      <c r="O438" s="84"/>
    </row>
    <row r="439" spans="2:15" x14ac:dyDescent="0.25">
      <c r="B439" s="84"/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53"/>
      <c r="N439" s="53"/>
      <c r="O439" s="84"/>
    </row>
    <row r="440" spans="2:15" x14ac:dyDescent="0.25">
      <c r="B440" s="84"/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53"/>
      <c r="N440" s="53"/>
      <c r="O440" s="84"/>
    </row>
    <row r="441" spans="2:15" x14ac:dyDescent="0.25">
      <c r="B441" s="84"/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53"/>
      <c r="N441" s="53"/>
      <c r="O441" s="84"/>
    </row>
    <row r="442" spans="2:15" x14ac:dyDescent="0.25">
      <c r="B442" s="84"/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53"/>
      <c r="N442" s="53"/>
      <c r="O442" s="84"/>
    </row>
    <row r="443" spans="2:15" x14ac:dyDescent="0.25">
      <c r="B443" s="84"/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53"/>
      <c r="N443" s="53"/>
      <c r="O443" s="84"/>
    </row>
    <row r="444" spans="2:15" x14ac:dyDescent="0.25">
      <c r="B444" s="84"/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53"/>
      <c r="N444" s="53"/>
      <c r="O444" s="84"/>
    </row>
    <row r="445" spans="2:15" x14ac:dyDescent="0.25">
      <c r="B445" s="84"/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53"/>
      <c r="N445" s="53"/>
      <c r="O445" s="84"/>
    </row>
    <row r="446" spans="2:15" x14ac:dyDescent="0.25">
      <c r="B446" s="84"/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53"/>
      <c r="N446" s="53"/>
      <c r="O446" s="84"/>
    </row>
    <row r="447" spans="2:15" x14ac:dyDescent="0.25">
      <c r="B447" s="84"/>
      <c r="C447" s="84"/>
      <c r="D447" s="84"/>
      <c r="E447" s="84"/>
      <c r="F447" s="84"/>
      <c r="G447" s="84"/>
      <c r="H447" s="84"/>
      <c r="I447" s="84"/>
      <c r="J447" s="84"/>
      <c r="K447" s="84"/>
      <c r="L447" s="84"/>
      <c r="M447" s="53"/>
      <c r="N447" s="53"/>
      <c r="O447" s="84"/>
    </row>
    <row r="448" spans="2:15" x14ac:dyDescent="0.25">
      <c r="B448" s="84"/>
      <c r="C448" s="84"/>
      <c r="D448" s="84"/>
      <c r="E448" s="84"/>
      <c r="F448" s="84"/>
      <c r="G448" s="84"/>
      <c r="H448" s="84"/>
      <c r="I448" s="84"/>
      <c r="J448" s="84"/>
      <c r="K448" s="84"/>
      <c r="L448" s="84"/>
      <c r="M448" s="53"/>
      <c r="N448" s="53"/>
      <c r="O448" s="84"/>
    </row>
    <row r="449" spans="2:15" x14ac:dyDescent="0.25">
      <c r="B449" s="84"/>
      <c r="C449" s="84"/>
      <c r="D449" s="84"/>
      <c r="E449" s="84"/>
      <c r="F449" s="84"/>
      <c r="G449" s="84"/>
      <c r="H449" s="84"/>
      <c r="I449" s="84"/>
      <c r="J449" s="84"/>
      <c r="K449" s="84"/>
      <c r="L449" s="84"/>
      <c r="M449" s="53"/>
      <c r="N449" s="53"/>
      <c r="O449" s="84"/>
    </row>
    <row r="450" spans="2:15" x14ac:dyDescent="0.25">
      <c r="B450" s="84"/>
      <c r="C450" s="84"/>
      <c r="D450" s="84"/>
      <c r="E450" s="84"/>
      <c r="F450" s="84"/>
      <c r="G450" s="84"/>
      <c r="H450" s="84"/>
      <c r="I450" s="84"/>
      <c r="J450" s="84"/>
      <c r="K450" s="84"/>
      <c r="L450" s="84"/>
      <c r="M450" s="53"/>
      <c r="N450" s="53"/>
      <c r="O450" s="84"/>
    </row>
    <row r="451" spans="2:15" x14ac:dyDescent="0.25">
      <c r="B451" s="84"/>
      <c r="C451" s="84"/>
      <c r="D451" s="84"/>
      <c r="E451" s="84"/>
      <c r="F451" s="84"/>
      <c r="G451" s="84"/>
      <c r="H451" s="84"/>
      <c r="I451" s="84"/>
      <c r="J451" s="84"/>
      <c r="K451" s="84"/>
      <c r="L451" s="84"/>
      <c r="M451" s="53"/>
      <c r="N451" s="53"/>
      <c r="O451" s="84"/>
    </row>
    <row r="452" spans="2:15" x14ac:dyDescent="0.25">
      <c r="B452" s="84"/>
      <c r="C452" s="84"/>
      <c r="D452" s="84"/>
      <c r="E452" s="84"/>
      <c r="F452" s="84"/>
      <c r="G452" s="84"/>
      <c r="H452" s="84"/>
      <c r="I452" s="84"/>
      <c r="J452" s="84"/>
      <c r="K452" s="84"/>
      <c r="L452" s="84"/>
      <c r="M452" s="53"/>
      <c r="N452" s="53"/>
      <c r="O452" s="84"/>
    </row>
    <row r="453" spans="2:15" x14ac:dyDescent="0.25">
      <c r="B453" s="84"/>
      <c r="C453" s="84"/>
      <c r="D453" s="84"/>
      <c r="E453" s="84"/>
      <c r="F453" s="84"/>
      <c r="G453" s="84"/>
      <c r="H453" s="84"/>
      <c r="I453" s="84"/>
      <c r="J453" s="84"/>
      <c r="K453" s="84"/>
      <c r="L453" s="84"/>
      <c r="M453" s="53"/>
      <c r="N453" s="53"/>
      <c r="O453" s="84"/>
    </row>
    <row r="454" spans="2:15" x14ac:dyDescent="0.25">
      <c r="B454" s="84"/>
      <c r="C454" s="84"/>
      <c r="D454" s="84"/>
      <c r="E454" s="84"/>
      <c r="F454" s="84"/>
      <c r="G454" s="84"/>
      <c r="H454" s="84"/>
      <c r="I454" s="84"/>
      <c r="J454" s="84"/>
      <c r="K454" s="84"/>
      <c r="L454" s="84"/>
      <c r="M454" s="53"/>
      <c r="N454" s="53"/>
      <c r="O454" s="84"/>
    </row>
    <row r="455" spans="2:15" x14ac:dyDescent="0.25">
      <c r="B455" s="84"/>
      <c r="C455" s="84"/>
      <c r="D455" s="84"/>
      <c r="E455" s="84"/>
      <c r="F455" s="84"/>
      <c r="G455" s="84"/>
      <c r="H455" s="84"/>
      <c r="I455" s="84"/>
      <c r="J455" s="84"/>
      <c r="K455" s="84"/>
      <c r="L455" s="84"/>
      <c r="M455" s="53"/>
      <c r="N455" s="53"/>
      <c r="O455" s="84"/>
    </row>
    <row r="456" spans="2:15" x14ac:dyDescent="0.25">
      <c r="B456" s="84"/>
      <c r="C456" s="84"/>
      <c r="D456" s="84"/>
      <c r="E456" s="84"/>
      <c r="F456" s="84"/>
      <c r="G456" s="84"/>
      <c r="H456" s="84"/>
      <c r="I456" s="84"/>
      <c r="J456" s="84"/>
      <c r="K456" s="84"/>
      <c r="L456" s="84"/>
      <c r="M456" s="53"/>
      <c r="N456" s="53"/>
      <c r="O456" s="84"/>
    </row>
    <row r="457" spans="2:15" x14ac:dyDescent="0.25">
      <c r="B457" s="84"/>
      <c r="C457" s="84"/>
      <c r="D457" s="84"/>
      <c r="E457" s="84"/>
      <c r="F457" s="84"/>
      <c r="G457" s="84"/>
      <c r="H457" s="84"/>
      <c r="I457" s="84"/>
      <c r="J457" s="84"/>
      <c r="K457" s="84"/>
      <c r="L457" s="84"/>
      <c r="M457" s="53"/>
      <c r="N457" s="53"/>
      <c r="O457" s="84"/>
    </row>
    <row r="458" spans="2:15" x14ac:dyDescent="0.25">
      <c r="B458" s="84"/>
      <c r="C458" s="84"/>
      <c r="D458" s="84"/>
      <c r="E458" s="84"/>
      <c r="F458" s="84"/>
      <c r="G458" s="84"/>
      <c r="H458" s="84"/>
      <c r="I458" s="84"/>
      <c r="J458" s="84"/>
      <c r="K458" s="84"/>
      <c r="L458" s="84"/>
      <c r="M458" s="53"/>
      <c r="N458" s="53"/>
      <c r="O458" s="84"/>
    </row>
    <row r="459" spans="2:15" x14ac:dyDescent="0.25">
      <c r="B459" s="84"/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53"/>
      <c r="N459" s="53"/>
      <c r="O459" s="84"/>
    </row>
    <row r="460" spans="2:15" x14ac:dyDescent="0.25">
      <c r="B460" s="84"/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53"/>
      <c r="N460" s="53"/>
      <c r="O460" s="84"/>
    </row>
    <row r="461" spans="2:15" x14ac:dyDescent="0.25">
      <c r="B461" s="84"/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53"/>
      <c r="N461" s="53"/>
      <c r="O461" s="84"/>
    </row>
    <row r="462" spans="2:15" x14ac:dyDescent="0.25">
      <c r="B462" s="84"/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53"/>
      <c r="N462" s="53"/>
      <c r="O462" s="84"/>
    </row>
    <row r="463" spans="2:15" x14ac:dyDescent="0.25">
      <c r="B463" s="84"/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53"/>
      <c r="N463" s="53"/>
      <c r="O463" s="84"/>
    </row>
    <row r="464" spans="2:15" x14ac:dyDescent="0.25">
      <c r="B464" s="84"/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53"/>
      <c r="N464" s="53"/>
      <c r="O464" s="84"/>
    </row>
    <row r="465" spans="2:15" x14ac:dyDescent="0.25">
      <c r="B465" s="84"/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53"/>
      <c r="N465" s="53"/>
      <c r="O465" s="84"/>
    </row>
    <row r="466" spans="2:15" x14ac:dyDescent="0.25">
      <c r="B466" s="84"/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53"/>
      <c r="N466" s="53"/>
      <c r="O466" s="84"/>
    </row>
    <row r="467" spans="2:15" x14ac:dyDescent="0.25">
      <c r="B467" s="84"/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53"/>
      <c r="N467" s="53"/>
      <c r="O467" s="84"/>
    </row>
    <row r="468" spans="2:15" x14ac:dyDescent="0.25">
      <c r="B468" s="84"/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53"/>
      <c r="N468" s="53"/>
      <c r="O468" s="84"/>
    </row>
    <row r="469" spans="2:15" x14ac:dyDescent="0.25">
      <c r="B469" s="84"/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53"/>
      <c r="N469" s="53"/>
      <c r="O469" s="84"/>
    </row>
    <row r="470" spans="2:15" x14ac:dyDescent="0.25">
      <c r="B470" s="84"/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53"/>
      <c r="N470" s="53"/>
      <c r="O470" s="84"/>
    </row>
    <row r="471" spans="2:15" x14ac:dyDescent="0.25">
      <c r="B471" s="84"/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53"/>
      <c r="N471" s="53"/>
      <c r="O471" s="84"/>
    </row>
    <row r="472" spans="2:15" x14ac:dyDescent="0.25">
      <c r="B472" s="84"/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53"/>
      <c r="N472" s="53"/>
      <c r="O472" s="84"/>
    </row>
    <row r="473" spans="2:15" x14ac:dyDescent="0.25">
      <c r="B473" s="84"/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53"/>
      <c r="N473" s="53"/>
      <c r="O473" s="84"/>
    </row>
    <row r="474" spans="2:15" x14ac:dyDescent="0.25">
      <c r="B474" s="84"/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53"/>
      <c r="N474" s="53"/>
      <c r="O474" s="84"/>
    </row>
    <row r="475" spans="2:15" x14ac:dyDescent="0.25">
      <c r="B475" s="84"/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53"/>
      <c r="N475" s="53"/>
      <c r="O475" s="84"/>
    </row>
    <row r="476" spans="2:15" x14ac:dyDescent="0.25">
      <c r="B476" s="84"/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53"/>
      <c r="N476" s="53"/>
      <c r="O476" s="84"/>
    </row>
    <row r="477" spans="2:15" x14ac:dyDescent="0.25">
      <c r="B477" s="84"/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53"/>
      <c r="N477" s="53"/>
      <c r="O477" s="84"/>
    </row>
    <row r="478" spans="2:15" x14ac:dyDescent="0.25">
      <c r="B478" s="84"/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53"/>
      <c r="N478" s="53"/>
      <c r="O478" s="84"/>
    </row>
    <row r="479" spans="2:15" x14ac:dyDescent="0.25">
      <c r="B479" s="84"/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53"/>
      <c r="N479" s="53"/>
      <c r="O479" s="84"/>
    </row>
    <row r="480" spans="2:15" x14ac:dyDescent="0.25">
      <c r="B480" s="84"/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53"/>
      <c r="N480" s="53"/>
      <c r="O480" s="84"/>
    </row>
    <row r="481" spans="2:15" x14ac:dyDescent="0.25">
      <c r="B481" s="84"/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53"/>
      <c r="N481" s="53"/>
      <c r="O481" s="84"/>
    </row>
    <row r="482" spans="2:15" x14ac:dyDescent="0.25">
      <c r="B482" s="84"/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53"/>
      <c r="N482" s="53"/>
      <c r="O482" s="84"/>
    </row>
    <row r="483" spans="2:15" x14ac:dyDescent="0.25">
      <c r="B483" s="84"/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53"/>
      <c r="N483" s="53"/>
      <c r="O483" s="84"/>
    </row>
    <row r="484" spans="2:15" x14ac:dyDescent="0.25">
      <c r="B484" s="84"/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53"/>
      <c r="N484" s="53"/>
      <c r="O484" s="84"/>
    </row>
    <row r="485" spans="2:15" x14ac:dyDescent="0.25">
      <c r="B485" s="84"/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53"/>
      <c r="N485" s="53"/>
      <c r="O485" s="84"/>
    </row>
    <row r="486" spans="2:15" x14ac:dyDescent="0.25">
      <c r="B486" s="84"/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53"/>
      <c r="N486" s="53"/>
      <c r="O486" s="84"/>
    </row>
    <row r="487" spans="2:15" x14ac:dyDescent="0.25">
      <c r="B487" s="84"/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53"/>
      <c r="N487" s="53"/>
      <c r="O487" s="84"/>
    </row>
    <row r="488" spans="2:15" x14ac:dyDescent="0.25">
      <c r="B488" s="84"/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53"/>
      <c r="N488" s="53"/>
      <c r="O488" s="84"/>
    </row>
    <row r="489" spans="2:15" x14ac:dyDescent="0.25">
      <c r="B489" s="84"/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53"/>
      <c r="N489" s="53"/>
      <c r="O489" s="84"/>
    </row>
    <row r="490" spans="2:15" x14ac:dyDescent="0.25">
      <c r="B490" s="84"/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53"/>
      <c r="N490" s="53"/>
      <c r="O490" s="84"/>
    </row>
    <row r="491" spans="2:15" x14ac:dyDescent="0.25">
      <c r="B491" s="84"/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53"/>
      <c r="N491" s="53"/>
      <c r="O491" s="84"/>
    </row>
    <row r="492" spans="2:15" x14ac:dyDescent="0.25">
      <c r="B492" s="84"/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53"/>
      <c r="N492" s="53"/>
      <c r="O492" s="84"/>
    </row>
    <row r="493" spans="2:15" x14ac:dyDescent="0.25">
      <c r="B493" s="84"/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53"/>
      <c r="N493" s="53"/>
      <c r="O493" s="84"/>
    </row>
    <row r="494" spans="2:15" x14ac:dyDescent="0.25">
      <c r="B494" s="84"/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53"/>
      <c r="N494" s="53"/>
      <c r="O494" s="84"/>
    </row>
    <row r="495" spans="2:15" x14ac:dyDescent="0.25">
      <c r="B495" s="84"/>
      <c r="C495" s="84"/>
      <c r="D495" s="84"/>
      <c r="E495" s="84"/>
      <c r="F495" s="84"/>
      <c r="G495" s="84"/>
      <c r="H495" s="84"/>
      <c r="I495" s="84"/>
      <c r="J495" s="84"/>
      <c r="K495" s="84"/>
      <c r="L495" s="84"/>
      <c r="M495" s="53"/>
      <c r="N495" s="53"/>
      <c r="O495" s="84"/>
    </row>
    <row r="496" spans="2:15" x14ac:dyDescent="0.25">
      <c r="B496" s="84"/>
      <c r="C496" s="84"/>
      <c r="D496" s="84"/>
      <c r="E496" s="84"/>
      <c r="F496" s="84"/>
      <c r="G496" s="84"/>
      <c r="H496" s="84"/>
      <c r="I496" s="84"/>
      <c r="J496" s="84"/>
      <c r="K496" s="84"/>
      <c r="L496" s="84"/>
      <c r="M496" s="53"/>
      <c r="N496" s="53"/>
      <c r="O496" s="84"/>
    </row>
    <row r="497" spans="2:15" x14ac:dyDescent="0.25">
      <c r="B497" s="84"/>
      <c r="C497" s="84"/>
      <c r="D497" s="84"/>
      <c r="E497" s="84"/>
      <c r="F497" s="84"/>
      <c r="G497" s="84"/>
      <c r="H497" s="84"/>
      <c r="I497" s="84"/>
      <c r="J497" s="84"/>
      <c r="K497" s="84"/>
      <c r="L497" s="84"/>
      <c r="M497" s="53"/>
      <c r="N497" s="53"/>
      <c r="O497" s="84"/>
    </row>
    <row r="498" spans="2:15" x14ac:dyDescent="0.25">
      <c r="B498" s="84"/>
      <c r="C498" s="84"/>
      <c r="D498" s="84"/>
      <c r="E498" s="84"/>
      <c r="F498" s="84"/>
      <c r="G498" s="84"/>
      <c r="H498" s="84"/>
      <c r="I498" s="84"/>
      <c r="J498" s="84"/>
      <c r="K498" s="84"/>
      <c r="L498" s="84"/>
      <c r="M498" s="53"/>
      <c r="N498" s="53"/>
      <c r="O498" s="84"/>
    </row>
    <row r="499" spans="2:15" x14ac:dyDescent="0.25">
      <c r="B499" s="84"/>
      <c r="C499" s="84"/>
      <c r="D499" s="84"/>
      <c r="E499" s="84"/>
      <c r="F499" s="84"/>
      <c r="G499" s="84"/>
      <c r="H499" s="84"/>
      <c r="I499" s="84"/>
      <c r="J499" s="84"/>
      <c r="K499" s="84"/>
      <c r="L499" s="84"/>
      <c r="M499" s="53"/>
      <c r="N499" s="53"/>
      <c r="O499" s="84"/>
    </row>
    <row r="500" spans="2:15" x14ac:dyDescent="0.25">
      <c r="B500" s="84"/>
      <c r="C500" s="84"/>
      <c r="D500" s="84"/>
      <c r="E500" s="84"/>
      <c r="F500" s="84"/>
      <c r="G500" s="84"/>
      <c r="H500" s="84"/>
      <c r="I500" s="84"/>
      <c r="J500" s="84"/>
      <c r="K500" s="84"/>
      <c r="L500" s="84"/>
      <c r="M500" s="53"/>
      <c r="N500" s="53"/>
      <c r="O500" s="84"/>
    </row>
    <row r="501" spans="2:15" x14ac:dyDescent="0.25">
      <c r="B501" s="84"/>
      <c r="C501" s="84"/>
      <c r="D501" s="84"/>
      <c r="E501" s="84"/>
      <c r="F501" s="84"/>
      <c r="G501" s="84"/>
      <c r="H501" s="84"/>
      <c r="I501" s="84"/>
      <c r="J501" s="84"/>
      <c r="K501" s="84"/>
      <c r="L501" s="84"/>
      <c r="M501" s="53"/>
      <c r="N501" s="53"/>
      <c r="O501" s="84"/>
    </row>
    <row r="502" spans="2:15" x14ac:dyDescent="0.25">
      <c r="B502" s="84"/>
      <c r="C502" s="84"/>
      <c r="D502" s="84"/>
      <c r="E502" s="84"/>
      <c r="F502" s="84"/>
      <c r="G502" s="84"/>
      <c r="H502" s="84"/>
      <c r="I502" s="84"/>
      <c r="J502" s="84"/>
      <c r="K502" s="84"/>
      <c r="L502" s="84"/>
      <c r="M502" s="53"/>
      <c r="N502" s="53"/>
      <c r="O502" s="84"/>
    </row>
    <row r="503" spans="2:15" x14ac:dyDescent="0.25">
      <c r="B503" s="84"/>
      <c r="C503" s="84"/>
      <c r="D503" s="84"/>
      <c r="E503" s="84"/>
      <c r="F503" s="84"/>
      <c r="G503" s="84"/>
      <c r="H503" s="84"/>
      <c r="I503" s="84"/>
      <c r="J503" s="84"/>
      <c r="K503" s="84"/>
      <c r="L503" s="84"/>
      <c r="M503" s="53"/>
      <c r="N503" s="53"/>
      <c r="O503" s="84"/>
    </row>
    <row r="504" spans="2:15" x14ac:dyDescent="0.25">
      <c r="B504" s="84"/>
      <c r="C504" s="84"/>
      <c r="D504" s="84"/>
      <c r="E504" s="84"/>
      <c r="F504" s="84"/>
      <c r="G504" s="84"/>
      <c r="H504" s="84"/>
      <c r="I504" s="84"/>
      <c r="J504" s="84"/>
      <c r="K504" s="84"/>
      <c r="L504" s="84"/>
      <c r="M504" s="53"/>
      <c r="N504" s="53"/>
      <c r="O504" s="84"/>
    </row>
    <row r="505" spans="2:15" x14ac:dyDescent="0.25">
      <c r="B505" s="84"/>
      <c r="C505" s="84"/>
      <c r="D505" s="84"/>
      <c r="E505" s="84"/>
      <c r="F505" s="84"/>
      <c r="G505" s="84"/>
      <c r="H505" s="84"/>
      <c r="I505" s="84"/>
      <c r="J505" s="84"/>
      <c r="K505" s="84"/>
      <c r="L505" s="84"/>
      <c r="M505" s="53"/>
      <c r="N505" s="53"/>
      <c r="O505" s="84"/>
    </row>
    <row r="506" spans="2:15" x14ac:dyDescent="0.25">
      <c r="B506" s="84"/>
      <c r="C506" s="84"/>
      <c r="D506" s="84"/>
      <c r="E506" s="84"/>
      <c r="F506" s="84"/>
      <c r="G506" s="84"/>
      <c r="H506" s="84"/>
      <c r="I506" s="84"/>
      <c r="J506" s="84"/>
      <c r="K506" s="84"/>
      <c r="L506" s="84"/>
      <c r="M506" s="53"/>
      <c r="N506" s="53"/>
      <c r="O506" s="84"/>
    </row>
    <row r="507" spans="2:15" x14ac:dyDescent="0.25">
      <c r="B507" s="84"/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53"/>
      <c r="N507" s="53"/>
      <c r="O507" s="84"/>
    </row>
    <row r="508" spans="2:15" x14ac:dyDescent="0.25">
      <c r="B508" s="84"/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53"/>
      <c r="N508" s="53"/>
      <c r="O508" s="84"/>
    </row>
    <row r="509" spans="2:15" x14ac:dyDescent="0.25">
      <c r="B509" s="84"/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53"/>
      <c r="N509" s="53"/>
      <c r="O509" s="84"/>
    </row>
    <row r="510" spans="2:15" x14ac:dyDescent="0.25">
      <c r="B510" s="84"/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53"/>
      <c r="N510" s="53"/>
      <c r="O510" s="84"/>
    </row>
    <row r="511" spans="2:15" x14ac:dyDescent="0.25">
      <c r="B511" s="84"/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53"/>
      <c r="N511" s="53"/>
      <c r="O511" s="84"/>
    </row>
    <row r="512" spans="2:15" x14ac:dyDescent="0.25">
      <c r="B512" s="84"/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53"/>
      <c r="N512" s="53"/>
      <c r="O512" s="84"/>
    </row>
    <row r="513" spans="2:15" x14ac:dyDescent="0.25">
      <c r="B513" s="84"/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53"/>
      <c r="N513" s="53"/>
      <c r="O513" s="84"/>
    </row>
    <row r="514" spans="2:15" x14ac:dyDescent="0.25">
      <c r="B514" s="84"/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53"/>
      <c r="N514" s="53"/>
      <c r="O514" s="84"/>
    </row>
    <row r="515" spans="2:15" x14ac:dyDescent="0.25">
      <c r="B515" s="84"/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53"/>
      <c r="N515" s="53"/>
      <c r="O515" s="84"/>
    </row>
    <row r="516" spans="2:15" x14ac:dyDescent="0.25">
      <c r="B516" s="84"/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53"/>
      <c r="N516" s="53"/>
      <c r="O516" s="84"/>
    </row>
    <row r="517" spans="2:15" x14ac:dyDescent="0.25">
      <c r="B517" s="84"/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53"/>
      <c r="N517" s="53"/>
      <c r="O517" s="84"/>
    </row>
    <row r="518" spans="2:15" x14ac:dyDescent="0.25">
      <c r="B518" s="84"/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53"/>
      <c r="N518" s="53"/>
      <c r="O518" s="84"/>
    </row>
    <row r="519" spans="2:15" x14ac:dyDescent="0.25">
      <c r="B519" s="84"/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53"/>
      <c r="N519" s="53"/>
      <c r="O519" s="84"/>
    </row>
    <row r="520" spans="2:15" x14ac:dyDescent="0.25">
      <c r="B520" s="84"/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53"/>
      <c r="N520" s="53"/>
      <c r="O520" s="84"/>
    </row>
    <row r="521" spans="2:15" x14ac:dyDescent="0.25">
      <c r="B521" s="84"/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53"/>
      <c r="N521" s="53"/>
      <c r="O521" s="84"/>
    </row>
    <row r="522" spans="2:15" x14ac:dyDescent="0.25">
      <c r="B522" s="84"/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53"/>
      <c r="N522" s="53"/>
      <c r="O522" s="84"/>
    </row>
    <row r="523" spans="2:15" x14ac:dyDescent="0.25">
      <c r="B523" s="84"/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53"/>
      <c r="N523" s="53"/>
      <c r="O523" s="84"/>
    </row>
    <row r="524" spans="2:15" x14ac:dyDescent="0.25">
      <c r="B524" s="84"/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53"/>
      <c r="N524" s="53"/>
      <c r="O524" s="84"/>
    </row>
    <row r="525" spans="2:15" x14ac:dyDescent="0.25">
      <c r="B525" s="84"/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53"/>
      <c r="N525" s="53"/>
      <c r="O525" s="84"/>
    </row>
    <row r="526" spans="2:15" x14ac:dyDescent="0.25">
      <c r="B526" s="84"/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53"/>
      <c r="N526" s="53"/>
      <c r="O526" s="84"/>
    </row>
    <row r="527" spans="2:15" x14ac:dyDescent="0.25">
      <c r="B527" s="84"/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53"/>
      <c r="N527" s="53"/>
      <c r="O527" s="84"/>
    </row>
    <row r="528" spans="2:15" x14ac:dyDescent="0.25">
      <c r="B528" s="84"/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53"/>
      <c r="N528" s="53"/>
      <c r="O528" s="84"/>
    </row>
    <row r="529" spans="2:15" x14ac:dyDescent="0.25">
      <c r="B529" s="84"/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53"/>
      <c r="N529" s="53"/>
      <c r="O529" s="84"/>
    </row>
    <row r="530" spans="2:15" x14ac:dyDescent="0.25">
      <c r="B530" s="84"/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53"/>
      <c r="N530" s="53"/>
      <c r="O530" s="84"/>
    </row>
    <row r="531" spans="2:15" x14ac:dyDescent="0.25">
      <c r="B531" s="84"/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53"/>
      <c r="N531" s="53"/>
      <c r="O531" s="84"/>
    </row>
    <row r="532" spans="2:15" x14ac:dyDescent="0.25">
      <c r="B532" s="84"/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53"/>
      <c r="N532" s="53"/>
      <c r="O532" s="84"/>
    </row>
    <row r="533" spans="2:15" x14ac:dyDescent="0.25">
      <c r="B533" s="84"/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53"/>
      <c r="N533" s="53"/>
      <c r="O533" s="84"/>
    </row>
    <row r="534" spans="2:15" x14ac:dyDescent="0.25">
      <c r="B534" s="84"/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53"/>
      <c r="N534" s="53"/>
      <c r="O534" s="84"/>
    </row>
    <row r="535" spans="2:15" x14ac:dyDescent="0.25">
      <c r="B535" s="84"/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53"/>
      <c r="N535" s="53"/>
      <c r="O535" s="84"/>
    </row>
    <row r="536" spans="2:15" x14ac:dyDescent="0.25">
      <c r="B536" s="84"/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53"/>
      <c r="N536" s="53"/>
      <c r="O536" s="84"/>
    </row>
    <row r="537" spans="2:15" x14ac:dyDescent="0.25">
      <c r="B537" s="84"/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53"/>
      <c r="N537" s="53"/>
      <c r="O537" s="84"/>
    </row>
    <row r="538" spans="2:15" x14ac:dyDescent="0.25">
      <c r="B538" s="84"/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53"/>
      <c r="N538" s="53"/>
      <c r="O538" s="84"/>
    </row>
    <row r="539" spans="2:15" x14ac:dyDescent="0.25">
      <c r="B539" s="84"/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53"/>
      <c r="N539" s="53"/>
      <c r="O539" s="84"/>
    </row>
    <row r="540" spans="2:15" x14ac:dyDescent="0.25">
      <c r="B540" s="84"/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53"/>
      <c r="N540" s="53"/>
      <c r="O540" s="84"/>
    </row>
    <row r="541" spans="2:15" x14ac:dyDescent="0.25">
      <c r="B541" s="84"/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53"/>
      <c r="N541" s="53"/>
      <c r="O541" s="84"/>
    </row>
    <row r="542" spans="2:15" x14ac:dyDescent="0.25">
      <c r="B542" s="84"/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53"/>
      <c r="N542" s="53"/>
      <c r="O542" s="84"/>
    </row>
    <row r="543" spans="2:15" x14ac:dyDescent="0.25">
      <c r="B543" s="84"/>
      <c r="C543" s="84"/>
      <c r="D543" s="84"/>
      <c r="E543" s="84"/>
      <c r="F543" s="84"/>
      <c r="G543" s="84"/>
      <c r="H543" s="84"/>
      <c r="I543" s="84"/>
      <c r="J543" s="84"/>
      <c r="K543" s="84"/>
      <c r="L543" s="84"/>
      <c r="M543" s="53"/>
      <c r="N543" s="53"/>
      <c r="O543" s="84"/>
    </row>
    <row r="544" spans="2:15" x14ac:dyDescent="0.25">
      <c r="B544" s="84"/>
      <c r="C544" s="84"/>
      <c r="D544" s="84"/>
      <c r="E544" s="84"/>
      <c r="F544" s="84"/>
      <c r="G544" s="84"/>
      <c r="H544" s="84"/>
      <c r="I544" s="84"/>
      <c r="J544" s="84"/>
      <c r="K544" s="84"/>
      <c r="L544" s="84"/>
      <c r="M544" s="53"/>
      <c r="N544" s="53"/>
      <c r="O544" s="84"/>
    </row>
    <row r="545" spans="2:15" x14ac:dyDescent="0.25">
      <c r="B545" s="84"/>
      <c r="C545" s="84"/>
      <c r="D545" s="84"/>
      <c r="E545" s="84"/>
      <c r="F545" s="84"/>
      <c r="G545" s="84"/>
      <c r="H545" s="84"/>
      <c r="I545" s="84"/>
      <c r="J545" s="84"/>
      <c r="K545" s="84"/>
      <c r="L545" s="84"/>
      <c r="M545" s="53"/>
      <c r="N545" s="53"/>
      <c r="O545" s="84"/>
    </row>
    <row r="546" spans="2:15" x14ac:dyDescent="0.25">
      <c r="B546" s="84"/>
      <c r="C546" s="84"/>
      <c r="D546" s="84"/>
      <c r="E546" s="84"/>
      <c r="F546" s="84"/>
      <c r="G546" s="84"/>
      <c r="H546" s="84"/>
      <c r="I546" s="84"/>
      <c r="J546" s="84"/>
      <c r="K546" s="84"/>
      <c r="L546" s="84"/>
      <c r="M546" s="53"/>
      <c r="N546" s="53"/>
      <c r="O546" s="84"/>
    </row>
    <row r="547" spans="2:15" x14ac:dyDescent="0.25">
      <c r="B547" s="84"/>
      <c r="C547" s="84"/>
      <c r="D547" s="84"/>
      <c r="E547" s="84"/>
      <c r="F547" s="84"/>
      <c r="G547" s="84"/>
      <c r="H547" s="84"/>
      <c r="I547" s="84"/>
      <c r="J547" s="84"/>
      <c r="K547" s="84"/>
      <c r="L547" s="84"/>
      <c r="M547" s="53"/>
      <c r="N547" s="53"/>
      <c r="O547" s="84"/>
    </row>
    <row r="548" spans="2:15" x14ac:dyDescent="0.25">
      <c r="B548" s="84"/>
      <c r="C548" s="84"/>
      <c r="D548" s="84"/>
      <c r="E548" s="84"/>
      <c r="F548" s="84"/>
      <c r="G548" s="84"/>
      <c r="H548" s="84"/>
      <c r="I548" s="84"/>
      <c r="J548" s="84"/>
      <c r="K548" s="84"/>
      <c r="L548" s="84"/>
      <c r="M548" s="53"/>
      <c r="N548" s="53"/>
      <c r="O548" s="84"/>
    </row>
    <row r="549" spans="2:15" x14ac:dyDescent="0.25">
      <c r="B549" s="84"/>
      <c r="C549" s="84"/>
      <c r="D549" s="84"/>
      <c r="E549" s="84"/>
      <c r="F549" s="84"/>
      <c r="G549" s="84"/>
      <c r="H549" s="84"/>
      <c r="I549" s="84"/>
      <c r="J549" s="84"/>
      <c r="K549" s="84"/>
      <c r="L549" s="84"/>
      <c r="M549" s="53"/>
      <c r="N549" s="53"/>
      <c r="O549" s="84"/>
    </row>
    <row r="550" spans="2:15" x14ac:dyDescent="0.25">
      <c r="B550" s="84"/>
      <c r="C550" s="84"/>
      <c r="D550" s="84"/>
      <c r="E550" s="84"/>
      <c r="F550" s="84"/>
      <c r="G550" s="84"/>
      <c r="H550" s="84"/>
      <c r="I550" s="84"/>
      <c r="J550" s="84"/>
      <c r="K550" s="84"/>
      <c r="L550" s="84"/>
      <c r="M550" s="53"/>
      <c r="N550" s="53"/>
      <c r="O550" s="84"/>
    </row>
    <row r="551" spans="2:15" x14ac:dyDescent="0.25">
      <c r="B551" s="84"/>
      <c r="C551" s="84"/>
      <c r="D551" s="84"/>
      <c r="E551" s="84"/>
      <c r="F551" s="84"/>
      <c r="G551" s="84"/>
      <c r="H551" s="84"/>
      <c r="I551" s="84"/>
      <c r="J551" s="84"/>
      <c r="K551" s="84"/>
      <c r="L551" s="84"/>
      <c r="M551" s="53"/>
      <c r="N551" s="53"/>
      <c r="O551" s="84"/>
    </row>
    <row r="552" spans="2:15" x14ac:dyDescent="0.25">
      <c r="B552" s="84"/>
      <c r="C552" s="84"/>
      <c r="D552" s="84"/>
      <c r="E552" s="84"/>
      <c r="F552" s="84"/>
      <c r="G552" s="84"/>
      <c r="H552" s="84"/>
      <c r="I552" s="84"/>
      <c r="J552" s="84"/>
      <c r="K552" s="84"/>
      <c r="L552" s="84"/>
      <c r="M552" s="53"/>
      <c r="N552" s="53"/>
      <c r="O552" s="84"/>
    </row>
    <row r="553" spans="2:15" x14ac:dyDescent="0.25">
      <c r="B553" s="84"/>
      <c r="C553" s="84"/>
      <c r="D553" s="84"/>
      <c r="E553" s="84"/>
      <c r="F553" s="84"/>
      <c r="G553" s="84"/>
      <c r="H553" s="84"/>
      <c r="I553" s="84"/>
      <c r="J553" s="84"/>
      <c r="K553" s="84"/>
      <c r="L553" s="84"/>
      <c r="M553" s="53"/>
      <c r="N553" s="53"/>
      <c r="O553" s="84"/>
    </row>
    <row r="554" spans="2:15" x14ac:dyDescent="0.25">
      <c r="B554" s="84"/>
      <c r="C554" s="84"/>
      <c r="D554" s="84"/>
      <c r="E554" s="84"/>
      <c r="F554" s="84"/>
      <c r="G554" s="84"/>
      <c r="H554" s="84"/>
      <c r="I554" s="84"/>
      <c r="J554" s="84"/>
      <c r="K554" s="84"/>
      <c r="L554" s="84"/>
      <c r="M554" s="53"/>
      <c r="N554" s="53"/>
      <c r="O554" s="84"/>
    </row>
    <row r="555" spans="2:15" x14ac:dyDescent="0.25">
      <c r="B555" s="84"/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53"/>
      <c r="N555" s="53"/>
      <c r="O555" s="84"/>
    </row>
    <row r="556" spans="2:15" x14ac:dyDescent="0.25">
      <c r="B556" s="84"/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53"/>
      <c r="N556" s="53"/>
      <c r="O556" s="84"/>
    </row>
    <row r="557" spans="2:15" x14ac:dyDescent="0.25">
      <c r="B557" s="84"/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53"/>
      <c r="N557" s="53"/>
      <c r="O557" s="84"/>
    </row>
    <row r="558" spans="2:15" x14ac:dyDescent="0.25">
      <c r="B558" s="84"/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53"/>
      <c r="N558" s="53"/>
      <c r="O558" s="84"/>
    </row>
    <row r="559" spans="2:15" x14ac:dyDescent="0.25">
      <c r="B559" s="84"/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53"/>
      <c r="N559" s="53"/>
      <c r="O559" s="84"/>
    </row>
    <row r="560" spans="2:15" x14ac:dyDescent="0.25">
      <c r="B560" s="84"/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53"/>
      <c r="N560" s="53"/>
      <c r="O560" s="84"/>
    </row>
    <row r="561" spans="2:15" x14ac:dyDescent="0.25">
      <c r="B561" s="84"/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53"/>
      <c r="N561" s="53"/>
      <c r="O561" s="84"/>
    </row>
    <row r="562" spans="2:15" x14ac:dyDescent="0.25">
      <c r="B562" s="84"/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53"/>
      <c r="N562" s="53"/>
      <c r="O562" s="84"/>
    </row>
    <row r="563" spans="2:15" x14ac:dyDescent="0.25">
      <c r="B563" s="84"/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53"/>
      <c r="N563" s="53"/>
      <c r="O563" s="84"/>
    </row>
    <row r="564" spans="2:15" x14ac:dyDescent="0.25">
      <c r="B564" s="84"/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53"/>
      <c r="N564" s="53"/>
      <c r="O564" s="84"/>
    </row>
    <row r="565" spans="2:15" x14ac:dyDescent="0.25">
      <c r="B565" s="84"/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53"/>
      <c r="N565" s="53"/>
      <c r="O565" s="84"/>
    </row>
    <row r="566" spans="2:15" x14ac:dyDescent="0.25">
      <c r="B566" s="84"/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53"/>
      <c r="N566" s="53"/>
      <c r="O566" s="84"/>
    </row>
    <row r="567" spans="2:15" x14ac:dyDescent="0.25">
      <c r="B567" s="84"/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53"/>
      <c r="N567" s="53"/>
      <c r="O567" s="84"/>
    </row>
    <row r="568" spans="2:15" x14ac:dyDescent="0.25">
      <c r="B568" s="84"/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53"/>
      <c r="N568" s="53"/>
      <c r="O568" s="84"/>
    </row>
    <row r="569" spans="2:15" x14ac:dyDescent="0.25">
      <c r="B569" s="84"/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53"/>
      <c r="N569" s="53"/>
      <c r="O569" s="84"/>
    </row>
    <row r="570" spans="2:15" x14ac:dyDescent="0.25">
      <c r="B570" s="84"/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53"/>
      <c r="N570" s="53"/>
      <c r="O570" s="84"/>
    </row>
    <row r="571" spans="2:15" x14ac:dyDescent="0.25">
      <c r="B571" s="84"/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53"/>
      <c r="N571" s="53"/>
      <c r="O571" s="84"/>
    </row>
    <row r="572" spans="2:15" x14ac:dyDescent="0.25">
      <c r="B572" s="84"/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53"/>
      <c r="N572" s="53"/>
      <c r="O572" s="84"/>
    </row>
    <row r="573" spans="2:15" x14ac:dyDescent="0.25">
      <c r="B573" s="84"/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53"/>
      <c r="N573" s="53"/>
      <c r="O573" s="84"/>
    </row>
    <row r="574" spans="2:15" x14ac:dyDescent="0.25">
      <c r="B574" s="84"/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53"/>
      <c r="N574" s="53"/>
      <c r="O574" s="84"/>
    </row>
    <row r="575" spans="2:15" x14ac:dyDescent="0.25">
      <c r="B575" s="84"/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53"/>
      <c r="N575" s="53"/>
      <c r="O575" s="84"/>
    </row>
    <row r="576" spans="2:15" x14ac:dyDescent="0.25">
      <c r="B576" s="84"/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53"/>
      <c r="N576" s="53"/>
      <c r="O576" s="84"/>
    </row>
    <row r="577" spans="2:15" x14ac:dyDescent="0.25">
      <c r="B577" s="84"/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53"/>
      <c r="N577" s="53"/>
      <c r="O577" s="84"/>
    </row>
    <row r="578" spans="2:15" x14ac:dyDescent="0.25">
      <c r="B578" s="84"/>
      <c r="C578" s="84"/>
      <c r="D578" s="84"/>
      <c r="E578" s="84"/>
      <c r="F578" s="84"/>
      <c r="G578" s="84"/>
      <c r="H578" s="84"/>
      <c r="I578" s="84"/>
      <c r="J578" s="84"/>
      <c r="K578" s="84"/>
      <c r="L578" s="84"/>
      <c r="M578" s="53"/>
      <c r="N578" s="53"/>
      <c r="O578" s="84"/>
    </row>
    <row r="579" spans="2:15" x14ac:dyDescent="0.25">
      <c r="B579" s="84"/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53"/>
      <c r="N579" s="53"/>
      <c r="O579" s="84"/>
    </row>
    <row r="580" spans="2:15" x14ac:dyDescent="0.25">
      <c r="B580" s="84"/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53"/>
      <c r="N580" s="53"/>
      <c r="O580" s="84"/>
    </row>
    <row r="581" spans="2:15" x14ac:dyDescent="0.25">
      <c r="B581" s="84"/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53"/>
      <c r="N581" s="53"/>
      <c r="O581" s="84"/>
    </row>
    <row r="582" spans="2:15" x14ac:dyDescent="0.25">
      <c r="B582" s="84"/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53"/>
      <c r="N582" s="53"/>
      <c r="O582" s="84"/>
    </row>
    <row r="583" spans="2:15" x14ac:dyDescent="0.25">
      <c r="B583" s="84"/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53"/>
      <c r="N583" s="53"/>
      <c r="O583" s="84"/>
    </row>
    <row r="584" spans="2:15" x14ac:dyDescent="0.25">
      <c r="B584" s="84"/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53"/>
      <c r="N584" s="53"/>
      <c r="O584" s="84"/>
    </row>
    <row r="585" spans="2:15" x14ac:dyDescent="0.25">
      <c r="B585" s="84"/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53"/>
      <c r="N585" s="53"/>
      <c r="O585" s="84"/>
    </row>
    <row r="586" spans="2:15" x14ac:dyDescent="0.25">
      <c r="B586" s="84"/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53"/>
      <c r="N586" s="53"/>
      <c r="O586" s="84"/>
    </row>
    <row r="587" spans="2:15" x14ac:dyDescent="0.25">
      <c r="B587" s="84"/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53"/>
      <c r="N587" s="53"/>
      <c r="O587" s="84"/>
    </row>
    <row r="588" spans="2:15" x14ac:dyDescent="0.25">
      <c r="B588" s="84"/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53"/>
      <c r="N588" s="53"/>
      <c r="O588" s="84"/>
    </row>
    <row r="589" spans="2:15" x14ac:dyDescent="0.25">
      <c r="B589" s="84"/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53"/>
      <c r="N589" s="53"/>
      <c r="O589" s="84"/>
    </row>
    <row r="590" spans="2:15" x14ac:dyDescent="0.25">
      <c r="B590" s="84"/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53"/>
      <c r="N590" s="53"/>
      <c r="O590" s="84"/>
    </row>
    <row r="591" spans="2:15" x14ac:dyDescent="0.25">
      <c r="B591" s="84"/>
      <c r="C591" s="84"/>
      <c r="D591" s="84"/>
      <c r="E591" s="84"/>
      <c r="F591" s="84"/>
      <c r="G591" s="84"/>
      <c r="H591" s="84"/>
      <c r="I591" s="84"/>
      <c r="J591" s="84"/>
      <c r="K591" s="84"/>
      <c r="L591" s="84"/>
      <c r="M591" s="53"/>
      <c r="N591" s="53"/>
      <c r="O591" s="84"/>
    </row>
    <row r="592" spans="2:15" x14ac:dyDescent="0.25">
      <c r="B592" s="84"/>
      <c r="C592" s="84"/>
      <c r="D592" s="84"/>
      <c r="E592" s="84"/>
      <c r="F592" s="84"/>
      <c r="G592" s="84"/>
      <c r="H592" s="84"/>
      <c r="I592" s="84"/>
      <c r="J592" s="84"/>
      <c r="K592" s="84"/>
      <c r="L592" s="84"/>
      <c r="M592" s="53"/>
      <c r="N592" s="53"/>
      <c r="O592" s="84"/>
    </row>
    <row r="593" spans="2:15" x14ac:dyDescent="0.25">
      <c r="B593" s="84"/>
      <c r="C593" s="84"/>
      <c r="D593" s="84"/>
      <c r="E593" s="84"/>
      <c r="F593" s="84"/>
      <c r="G593" s="84"/>
      <c r="H593" s="84"/>
      <c r="I593" s="84"/>
      <c r="J593" s="84"/>
      <c r="K593" s="84"/>
      <c r="L593" s="84"/>
      <c r="M593" s="53"/>
      <c r="N593" s="53"/>
      <c r="O593" s="84"/>
    </row>
    <row r="594" spans="2:15" x14ac:dyDescent="0.25">
      <c r="B594" s="84"/>
      <c r="C594" s="84"/>
      <c r="D594" s="84"/>
      <c r="E594" s="84"/>
      <c r="F594" s="84"/>
      <c r="G594" s="84"/>
      <c r="H594" s="84"/>
      <c r="I594" s="84"/>
      <c r="J594" s="84"/>
      <c r="K594" s="84"/>
      <c r="L594" s="84"/>
      <c r="M594" s="53"/>
      <c r="N594" s="53"/>
      <c r="O594" s="84"/>
    </row>
    <row r="595" spans="2:15" x14ac:dyDescent="0.25">
      <c r="B595" s="84"/>
      <c r="C595" s="84"/>
      <c r="D595" s="84"/>
      <c r="E595" s="84"/>
      <c r="F595" s="84"/>
      <c r="G595" s="84"/>
      <c r="H595" s="84"/>
      <c r="I595" s="84"/>
      <c r="J595" s="84"/>
      <c r="K595" s="84"/>
      <c r="L595" s="84"/>
      <c r="M595" s="53"/>
      <c r="N595" s="53"/>
      <c r="O595" s="84"/>
    </row>
    <row r="596" spans="2:15" x14ac:dyDescent="0.25">
      <c r="B596" s="84"/>
      <c r="C596" s="84"/>
      <c r="D596" s="84"/>
      <c r="E596" s="84"/>
      <c r="F596" s="84"/>
      <c r="G596" s="84"/>
      <c r="H596" s="84"/>
      <c r="I596" s="84"/>
      <c r="J596" s="84"/>
      <c r="K596" s="84"/>
      <c r="L596" s="84"/>
      <c r="M596" s="53"/>
      <c r="N596" s="53"/>
      <c r="O596" s="84"/>
    </row>
    <row r="597" spans="2:15" x14ac:dyDescent="0.25">
      <c r="B597" s="84"/>
      <c r="C597" s="84"/>
      <c r="D597" s="84"/>
      <c r="E597" s="84"/>
      <c r="F597" s="84"/>
      <c r="G597" s="84"/>
      <c r="H597" s="84"/>
      <c r="I597" s="84"/>
      <c r="J597" s="84"/>
      <c r="K597" s="84"/>
      <c r="L597" s="84"/>
      <c r="M597" s="53"/>
      <c r="N597" s="53"/>
      <c r="O597" s="84"/>
    </row>
    <row r="598" spans="2:15" x14ac:dyDescent="0.25">
      <c r="B598" s="84"/>
      <c r="C598" s="84"/>
      <c r="D598" s="84"/>
      <c r="E598" s="84"/>
      <c r="F598" s="84"/>
      <c r="G598" s="84"/>
      <c r="H598" s="84"/>
      <c r="I598" s="84"/>
      <c r="J598" s="84"/>
      <c r="K598" s="84"/>
      <c r="L598" s="84"/>
      <c r="M598" s="53"/>
      <c r="N598" s="53"/>
      <c r="O598" s="84"/>
    </row>
    <row r="599" spans="2:15" x14ac:dyDescent="0.25">
      <c r="B599" s="84"/>
      <c r="C599" s="84"/>
      <c r="D599" s="84"/>
      <c r="E599" s="84"/>
      <c r="F599" s="84"/>
      <c r="G599" s="84"/>
      <c r="H599" s="84"/>
      <c r="I599" s="84"/>
      <c r="J599" s="84"/>
      <c r="K599" s="84"/>
      <c r="L599" s="84"/>
      <c r="M599" s="53"/>
      <c r="N599" s="53"/>
      <c r="O599" s="84"/>
    </row>
    <row r="600" spans="2:15" x14ac:dyDescent="0.25">
      <c r="B600" s="84"/>
      <c r="C600" s="84"/>
      <c r="D600" s="84"/>
      <c r="E600" s="84"/>
      <c r="F600" s="84"/>
      <c r="G600" s="84"/>
      <c r="H600" s="84"/>
      <c r="I600" s="84"/>
      <c r="J600" s="84"/>
      <c r="K600" s="84"/>
      <c r="L600" s="84"/>
      <c r="M600" s="53"/>
      <c r="N600" s="53"/>
      <c r="O600" s="84"/>
    </row>
    <row r="601" spans="2:15" x14ac:dyDescent="0.25">
      <c r="B601" s="84"/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53"/>
      <c r="N601" s="53"/>
      <c r="O601" s="84"/>
    </row>
    <row r="602" spans="2:15" x14ac:dyDescent="0.25">
      <c r="B602" s="84"/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53"/>
      <c r="N602" s="53"/>
      <c r="O602" s="84"/>
    </row>
    <row r="603" spans="2:15" x14ac:dyDescent="0.25">
      <c r="B603" s="84"/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53"/>
      <c r="N603" s="53"/>
      <c r="O603" s="84"/>
    </row>
    <row r="604" spans="2:15" x14ac:dyDescent="0.25">
      <c r="B604" s="84"/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53"/>
      <c r="N604" s="53"/>
      <c r="O604" s="84"/>
    </row>
    <row r="605" spans="2:15" x14ac:dyDescent="0.25">
      <c r="B605" s="84"/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53"/>
      <c r="N605" s="53"/>
      <c r="O605" s="84"/>
    </row>
    <row r="606" spans="2:15" x14ac:dyDescent="0.25">
      <c r="B606" s="84"/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53"/>
      <c r="N606" s="53"/>
      <c r="O606" s="84"/>
    </row>
    <row r="607" spans="2:15" x14ac:dyDescent="0.25">
      <c r="B607" s="84"/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53"/>
      <c r="N607" s="53"/>
      <c r="O607" s="84"/>
    </row>
    <row r="608" spans="2:15" x14ac:dyDescent="0.25">
      <c r="B608" s="84"/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53"/>
      <c r="N608" s="53"/>
      <c r="O608" s="84"/>
    </row>
    <row r="609" spans="2:15" x14ac:dyDescent="0.25">
      <c r="B609" s="84"/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53"/>
      <c r="N609" s="53"/>
      <c r="O609" s="84"/>
    </row>
    <row r="610" spans="2:15" x14ac:dyDescent="0.25">
      <c r="B610" s="84"/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53"/>
      <c r="N610" s="53"/>
      <c r="O610" s="84"/>
    </row>
    <row r="611" spans="2:15" x14ac:dyDescent="0.25">
      <c r="B611" s="84"/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53"/>
      <c r="N611" s="53"/>
      <c r="O611" s="84"/>
    </row>
    <row r="612" spans="2:15" x14ac:dyDescent="0.25">
      <c r="B612" s="84"/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53"/>
      <c r="N612" s="53"/>
      <c r="O612" s="84"/>
    </row>
    <row r="613" spans="2:15" x14ac:dyDescent="0.25">
      <c r="B613" s="84"/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53"/>
      <c r="N613" s="53"/>
      <c r="O613" s="84"/>
    </row>
    <row r="614" spans="2:15" x14ac:dyDescent="0.25">
      <c r="B614" s="84"/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53"/>
      <c r="N614" s="53"/>
      <c r="O614" s="84"/>
    </row>
    <row r="615" spans="2:15" x14ac:dyDescent="0.25">
      <c r="B615" s="84"/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53"/>
      <c r="N615" s="53"/>
      <c r="O615" s="84"/>
    </row>
    <row r="616" spans="2:15" x14ac:dyDescent="0.25">
      <c r="B616" s="84"/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53"/>
      <c r="N616" s="53"/>
      <c r="O616" s="84"/>
    </row>
    <row r="617" spans="2:15" x14ac:dyDescent="0.25">
      <c r="B617" s="84"/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53"/>
      <c r="N617" s="53"/>
      <c r="O617" s="84"/>
    </row>
    <row r="618" spans="2:15" x14ac:dyDescent="0.25">
      <c r="B618" s="84"/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53"/>
      <c r="N618" s="53"/>
      <c r="O618" s="84"/>
    </row>
    <row r="619" spans="2:15" x14ac:dyDescent="0.25">
      <c r="B619" s="84"/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53"/>
      <c r="N619" s="53"/>
      <c r="O619" s="84"/>
    </row>
    <row r="620" spans="2:15" x14ac:dyDescent="0.25">
      <c r="B620" s="84"/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53"/>
      <c r="N620" s="53"/>
      <c r="O620" s="84"/>
    </row>
    <row r="621" spans="2:15" x14ac:dyDescent="0.25">
      <c r="B621" s="84"/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53"/>
      <c r="N621" s="53"/>
      <c r="O621" s="84"/>
    </row>
    <row r="622" spans="2:15" x14ac:dyDescent="0.25">
      <c r="B622" s="84"/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53"/>
      <c r="N622" s="53"/>
      <c r="O622" s="84"/>
    </row>
    <row r="623" spans="2:15" x14ac:dyDescent="0.25">
      <c r="B623" s="84"/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53"/>
      <c r="N623" s="53"/>
      <c r="O623" s="84"/>
    </row>
    <row r="624" spans="2:15" x14ac:dyDescent="0.25">
      <c r="B624" s="84"/>
      <c r="C624" s="84"/>
      <c r="D624" s="84"/>
      <c r="E624" s="84"/>
      <c r="F624" s="84"/>
      <c r="G624" s="84"/>
      <c r="H624" s="84"/>
      <c r="I624" s="84"/>
      <c r="J624" s="84"/>
      <c r="K624" s="84"/>
      <c r="L624" s="84"/>
      <c r="M624" s="53"/>
      <c r="N624" s="53"/>
      <c r="O624" s="84"/>
    </row>
    <row r="625" spans="2:15" x14ac:dyDescent="0.25">
      <c r="B625" s="84"/>
      <c r="C625" s="84"/>
      <c r="D625" s="84"/>
      <c r="E625" s="84"/>
      <c r="F625" s="84"/>
      <c r="G625" s="84"/>
      <c r="H625" s="84"/>
      <c r="I625" s="84"/>
      <c r="J625" s="84"/>
      <c r="K625" s="84"/>
      <c r="L625" s="84"/>
      <c r="M625" s="53"/>
      <c r="N625" s="53"/>
      <c r="O625" s="84"/>
    </row>
    <row r="626" spans="2:15" x14ac:dyDescent="0.25">
      <c r="B626" s="84"/>
      <c r="C626" s="84"/>
      <c r="D626" s="84"/>
      <c r="E626" s="84"/>
      <c r="F626" s="84"/>
      <c r="G626" s="84"/>
      <c r="H626" s="84"/>
      <c r="I626" s="84"/>
      <c r="J626" s="84"/>
      <c r="K626" s="84"/>
      <c r="L626" s="84"/>
      <c r="M626" s="53"/>
      <c r="N626" s="53"/>
      <c r="O626" s="84"/>
    </row>
    <row r="627" spans="2:15" x14ac:dyDescent="0.25">
      <c r="B627" s="84"/>
      <c r="C627" s="84"/>
      <c r="D627" s="84"/>
      <c r="E627" s="84"/>
      <c r="F627" s="84"/>
      <c r="G627" s="84"/>
      <c r="H627" s="84"/>
      <c r="I627" s="84"/>
      <c r="J627" s="84"/>
      <c r="K627" s="84"/>
      <c r="L627" s="84"/>
      <c r="M627" s="53"/>
      <c r="N627" s="53"/>
      <c r="O627" s="84"/>
    </row>
    <row r="628" spans="2:15" x14ac:dyDescent="0.25">
      <c r="B628" s="84"/>
      <c r="C628" s="84"/>
      <c r="D628" s="84"/>
      <c r="E628" s="84"/>
      <c r="F628" s="84"/>
      <c r="G628" s="84"/>
      <c r="H628" s="84"/>
      <c r="I628" s="84"/>
      <c r="J628" s="84"/>
      <c r="K628" s="84"/>
      <c r="L628" s="84"/>
      <c r="M628" s="53"/>
      <c r="N628" s="53"/>
      <c r="O628" s="84"/>
    </row>
    <row r="629" spans="2:15" x14ac:dyDescent="0.25">
      <c r="B629" s="84"/>
      <c r="C629" s="84"/>
      <c r="D629" s="84"/>
      <c r="E629" s="84"/>
      <c r="F629" s="84"/>
      <c r="G629" s="84"/>
      <c r="H629" s="84"/>
      <c r="I629" s="84"/>
      <c r="J629" s="84"/>
      <c r="K629" s="84"/>
      <c r="L629" s="84"/>
      <c r="M629" s="53"/>
      <c r="N629" s="53"/>
      <c r="O629" s="84"/>
    </row>
    <row r="630" spans="2:15" x14ac:dyDescent="0.25">
      <c r="B630" s="84"/>
      <c r="C630" s="84"/>
      <c r="D630" s="84"/>
      <c r="E630" s="84"/>
      <c r="F630" s="84"/>
      <c r="G630" s="84"/>
      <c r="H630" s="84"/>
      <c r="I630" s="84"/>
      <c r="J630" s="84"/>
      <c r="K630" s="84"/>
      <c r="L630" s="84"/>
      <c r="M630" s="53"/>
      <c r="N630" s="53"/>
      <c r="O630" s="84"/>
    </row>
    <row r="631" spans="2:15" x14ac:dyDescent="0.25">
      <c r="B631" s="84"/>
      <c r="C631" s="84"/>
      <c r="D631" s="84"/>
      <c r="E631" s="84"/>
      <c r="F631" s="84"/>
      <c r="G631" s="84"/>
      <c r="H631" s="84"/>
      <c r="I631" s="84"/>
      <c r="J631" s="84"/>
      <c r="K631" s="84"/>
      <c r="L631" s="84"/>
      <c r="M631" s="53"/>
      <c r="N631" s="53"/>
      <c r="O631" s="84"/>
    </row>
    <row r="632" spans="2:15" x14ac:dyDescent="0.25">
      <c r="B632" s="84"/>
      <c r="C632" s="84"/>
      <c r="D632" s="84"/>
      <c r="E632" s="84"/>
      <c r="F632" s="84"/>
      <c r="G632" s="84"/>
      <c r="H632" s="84"/>
      <c r="I632" s="84"/>
      <c r="J632" s="84"/>
      <c r="K632" s="84"/>
      <c r="L632" s="84"/>
      <c r="M632" s="53"/>
      <c r="N632" s="53"/>
      <c r="O632" s="84"/>
    </row>
    <row r="633" spans="2:15" x14ac:dyDescent="0.25">
      <c r="B633" s="84"/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53"/>
      <c r="N633" s="53"/>
      <c r="O633" s="84"/>
    </row>
    <row r="634" spans="2:15" x14ac:dyDescent="0.25">
      <c r="B634" s="84"/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53"/>
      <c r="N634" s="53"/>
      <c r="O634" s="84"/>
    </row>
    <row r="635" spans="2:15" x14ac:dyDescent="0.25">
      <c r="B635" s="84"/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53"/>
      <c r="N635" s="53"/>
      <c r="O635" s="84"/>
    </row>
    <row r="636" spans="2:15" x14ac:dyDescent="0.25">
      <c r="B636" s="84"/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53"/>
      <c r="N636" s="53"/>
      <c r="O636" s="84"/>
    </row>
    <row r="637" spans="2:15" x14ac:dyDescent="0.25">
      <c r="B637" s="84"/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53"/>
      <c r="N637" s="53"/>
      <c r="O637" s="84"/>
    </row>
    <row r="638" spans="2:15" x14ac:dyDescent="0.25">
      <c r="B638" s="84"/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53"/>
      <c r="N638" s="53"/>
      <c r="O638" s="84"/>
    </row>
    <row r="639" spans="2:15" x14ac:dyDescent="0.25">
      <c r="B639" s="84"/>
      <c r="C639" s="84"/>
      <c r="D639" s="84"/>
      <c r="E639" s="84"/>
      <c r="F639" s="84"/>
      <c r="G639" s="84"/>
      <c r="H639" s="84"/>
      <c r="I639" s="84"/>
      <c r="J639" s="84"/>
      <c r="K639" s="84"/>
      <c r="L639" s="84"/>
      <c r="M639" s="53"/>
      <c r="N639" s="53"/>
      <c r="O639" s="84"/>
    </row>
    <row r="640" spans="2:15" x14ac:dyDescent="0.25">
      <c r="B640" s="84"/>
      <c r="C640" s="84"/>
      <c r="D640" s="84"/>
      <c r="E640" s="84"/>
      <c r="F640" s="84"/>
      <c r="G640" s="84"/>
      <c r="H640" s="84"/>
      <c r="I640" s="84"/>
      <c r="J640" s="84"/>
      <c r="K640" s="84"/>
      <c r="L640" s="84"/>
      <c r="M640" s="53"/>
      <c r="N640" s="53"/>
      <c r="O640" s="84"/>
    </row>
    <row r="641" spans="2:15" x14ac:dyDescent="0.25">
      <c r="B641" s="84"/>
      <c r="C641" s="84"/>
      <c r="D641" s="84"/>
      <c r="E641" s="84"/>
      <c r="F641" s="84"/>
      <c r="G641" s="84"/>
      <c r="H641" s="84"/>
      <c r="I641" s="84"/>
      <c r="J641" s="84"/>
      <c r="K641" s="84"/>
      <c r="L641" s="84"/>
      <c r="M641" s="53"/>
      <c r="N641" s="53"/>
      <c r="O641" s="84"/>
    </row>
    <row r="642" spans="2:15" x14ac:dyDescent="0.25">
      <c r="B642" s="84"/>
      <c r="C642" s="84"/>
      <c r="D642" s="84"/>
      <c r="E642" s="84"/>
      <c r="F642" s="84"/>
      <c r="G642" s="84"/>
      <c r="H642" s="84"/>
      <c r="I642" s="84"/>
      <c r="J642" s="84"/>
      <c r="K642" s="84"/>
      <c r="L642" s="84"/>
      <c r="M642" s="53"/>
      <c r="N642" s="53"/>
      <c r="O642" s="84"/>
    </row>
    <row r="643" spans="2:15" x14ac:dyDescent="0.25">
      <c r="B643" s="84"/>
      <c r="C643" s="84"/>
      <c r="D643" s="84"/>
      <c r="E643" s="84"/>
      <c r="F643" s="84"/>
      <c r="G643" s="84"/>
      <c r="H643" s="84"/>
      <c r="I643" s="84"/>
      <c r="J643" s="84"/>
      <c r="K643" s="84"/>
      <c r="L643" s="84"/>
      <c r="M643" s="53"/>
      <c r="N643" s="53"/>
      <c r="O643" s="84"/>
    </row>
    <row r="644" spans="2:15" x14ac:dyDescent="0.25">
      <c r="B644" s="84"/>
      <c r="C644" s="84"/>
      <c r="D644" s="84"/>
      <c r="E644" s="84"/>
      <c r="F644" s="84"/>
      <c r="G644" s="84"/>
      <c r="H644" s="84"/>
      <c r="I644" s="84"/>
      <c r="J644" s="84"/>
      <c r="K644" s="84"/>
      <c r="L644" s="84"/>
      <c r="M644" s="53"/>
      <c r="N644" s="53"/>
      <c r="O644" s="84"/>
    </row>
    <row r="645" spans="2:15" x14ac:dyDescent="0.25">
      <c r="B645" s="84"/>
      <c r="C645" s="84"/>
      <c r="D645" s="84"/>
      <c r="E645" s="84"/>
      <c r="F645" s="84"/>
      <c r="G645" s="84"/>
      <c r="H645" s="84"/>
      <c r="I645" s="84"/>
      <c r="J645" s="84"/>
      <c r="K645" s="84"/>
      <c r="L645" s="84"/>
      <c r="M645" s="53"/>
      <c r="N645" s="53"/>
      <c r="O645" s="84"/>
    </row>
    <row r="646" spans="2:15" x14ac:dyDescent="0.25">
      <c r="B646" s="84"/>
      <c r="C646" s="84"/>
      <c r="D646" s="84"/>
      <c r="E646" s="84"/>
      <c r="F646" s="84"/>
      <c r="G646" s="84"/>
      <c r="H646" s="84"/>
      <c r="I646" s="84"/>
      <c r="J646" s="84"/>
      <c r="K646" s="84"/>
      <c r="L646" s="84"/>
      <c r="M646" s="53"/>
      <c r="N646" s="53"/>
      <c r="O646" s="84"/>
    </row>
    <row r="647" spans="2:15" x14ac:dyDescent="0.25">
      <c r="B647" s="84"/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53"/>
      <c r="N647" s="53"/>
      <c r="O647" s="84"/>
    </row>
    <row r="648" spans="2:15" x14ac:dyDescent="0.25">
      <c r="B648" s="84"/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53"/>
      <c r="N648" s="53"/>
      <c r="O648" s="84"/>
    </row>
    <row r="649" spans="2:15" x14ac:dyDescent="0.25">
      <c r="B649" s="84"/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53"/>
      <c r="N649" s="53"/>
      <c r="O649" s="84"/>
    </row>
    <row r="650" spans="2:15" x14ac:dyDescent="0.25">
      <c r="B650" s="84"/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53"/>
      <c r="N650" s="53"/>
      <c r="O650" s="84"/>
    </row>
    <row r="651" spans="2:15" x14ac:dyDescent="0.25">
      <c r="B651" s="84"/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53"/>
      <c r="N651" s="53"/>
      <c r="O651" s="84"/>
    </row>
    <row r="652" spans="2:15" x14ac:dyDescent="0.25">
      <c r="B652" s="84"/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53"/>
      <c r="N652" s="53"/>
      <c r="O652" s="84"/>
    </row>
    <row r="653" spans="2:15" x14ac:dyDescent="0.25">
      <c r="B653" s="84"/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53"/>
      <c r="N653" s="53"/>
      <c r="O653" s="84"/>
    </row>
    <row r="654" spans="2:15" x14ac:dyDescent="0.25">
      <c r="B654" s="84"/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53"/>
      <c r="N654" s="53"/>
      <c r="O654" s="84"/>
    </row>
    <row r="655" spans="2:15" x14ac:dyDescent="0.25">
      <c r="B655" s="84"/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53"/>
      <c r="N655" s="53"/>
      <c r="O655" s="84"/>
    </row>
    <row r="656" spans="2:15" x14ac:dyDescent="0.25">
      <c r="B656" s="84"/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53"/>
      <c r="N656" s="53"/>
      <c r="O656" s="84"/>
    </row>
    <row r="657" spans="2:15" x14ac:dyDescent="0.25">
      <c r="B657" s="84"/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53"/>
      <c r="N657" s="53"/>
      <c r="O657" s="84"/>
    </row>
    <row r="658" spans="2:15" x14ac:dyDescent="0.25">
      <c r="B658" s="84"/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53"/>
      <c r="N658" s="53"/>
      <c r="O658" s="84"/>
    </row>
    <row r="659" spans="2:15" x14ac:dyDescent="0.25">
      <c r="B659" s="84"/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53"/>
      <c r="N659" s="53"/>
      <c r="O659" s="84"/>
    </row>
    <row r="660" spans="2:15" x14ac:dyDescent="0.25">
      <c r="B660" s="84"/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53"/>
      <c r="N660" s="53"/>
      <c r="O660" s="84"/>
    </row>
    <row r="661" spans="2:15" x14ac:dyDescent="0.25">
      <c r="B661" s="84"/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53"/>
      <c r="N661" s="53"/>
      <c r="O661" s="84"/>
    </row>
    <row r="662" spans="2:15" x14ac:dyDescent="0.25">
      <c r="B662" s="84"/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53"/>
      <c r="N662" s="53"/>
      <c r="O662" s="84"/>
    </row>
    <row r="663" spans="2:15" x14ac:dyDescent="0.25">
      <c r="B663" s="84"/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53"/>
      <c r="N663" s="53"/>
      <c r="O663" s="84"/>
    </row>
    <row r="664" spans="2:15" x14ac:dyDescent="0.25">
      <c r="B664" s="84"/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53"/>
      <c r="N664" s="53"/>
      <c r="O664" s="84"/>
    </row>
    <row r="665" spans="2:15" x14ac:dyDescent="0.25">
      <c r="B665" s="84"/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53"/>
      <c r="N665" s="53"/>
      <c r="O665" s="84"/>
    </row>
    <row r="666" spans="2:15" x14ac:dyDescent="0.25">
      <c r="B666" s="84"/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53"/>
      <c r="N666" s="53"/>
      <c r="O666" s="84"/>
    </row>
    <row r="667" spans="2:15" x14ac:dyDescent="0.25">
      <c r="B667" s="84"/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53"/>
      <c r="N667" s="53"/>
      <c r="O667" s="84"/>
    </row>
    <row r="668" spans="2:15" x14ac:dyDescent="0.25">
      <c r="B668" s="84"/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53"/>
      <c r="N668" s="53"/>
      <c r="O668" s="84"/>
    </row>
    <row r="669" spans="2:15" x14ac:dyDescent="0.25">
      <c r="B669" s="84"/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53"/>
      <c r="N669" s="53"/>
      <c r="O669" s="84"/>
    </row>
    <row r="670" spans="2:15" x14ac:dyDescent="0.25">
      <c r="B670" s="84"/>
      <c r="C670" s="84"/>
      <c r="D670" s="84"/>
      <c r="E670" s="84"/>
      <c r="F670" s="84"/>
      <c r="G670" s="84"/>
      <c r="H670" s="84"/>
      <c r="I670" s="84"/>
      <c r="J670" s="84"/>
      <c r="K670" s="84"/>
      <c r="L670" s="84"/>
      <c r="M670" s="53"/>
      <c r="N670" s="53"/>
      <c r="O670" s="84"/>
    </row>
    <row r="671" spans="2:15" x14ac:dyDescent="0.25">
      <c r="B671" s="84"/>
      <c r="C671" s="84"/>
      <c r="D671" s="84"/>
      <c r="E671" s="84"/>
      <c r="F671" s="84"/>
      <c r="G671" s="84"/>
      <c r="H671" s="84"/>
      <c r="I671" s="84"/>
      <c r="J671" s="84"/>
      <c r="K671" s="84"/>
      <c r="L671" s="84"/>
      <c r="M671" s="53"/>
      <c r="N671" s="53"/>
      <c r="O671" s="84"/>
    </row>
    <row r="672" spans="2:15" x14ac:dyDescent="0.25">
      <c r="B672" s="84"/>
      <c r="C672" s="84"/>
      <c r="D672" s="84"/>
      <c r="E672" s="84"/>
      <c r="F672" s="84"/>
      <c r="G672" s="84"/>
      <c r="H672" s="84"/>
      <c r="I672" s="84"/>
      <c r="J672" s="84"/>
      <c r="K672" s="84"/>
      <c r="L672" s="84"/>
      <c r="M672" s="53"/>
      <c r="N672" s="53"/>
      <c r="O672" s="84"/>
    </row>
    <row r="673" spans="2:15" x14ac:dyDescent="0.25">
      <c r="B673" s="84"/>
      <c r="C673" s="84"/>
      <c r="D673" s="84"/>
      <c r="E673" s="84"/>
      <c r="F673" s="84"/>
      <c r="G673" s="84"/>
      <c r="H673" s="84"/>
      <c r="I673" s="84"/>
      <c r="J673" s="84"/>
      <c r="K673" s="84"/>
      <c r="L673" s="84"/>
      <c r="M673" s="53"/>
      <c r="N673" s="53"/>
      <c r="O673" s="84"/>
    </row>
    <row r="674" spans="2:15" x14ac:dyDescent="0.25">
      <c r="B674" s="84"/>
      <c r="C674" s="84"/>
      <c r="D674" s="84"/>
      <c r="E674" s="84"/>
      <c r="F674" s="84"/>
      <c r="G674" s="84"/>
      <c r="H674" s="84"/>
      <c r="I674" s="84"/>
      <c r="J674" s="84"/>
      <c r="K674" s="84"/>
      <c r="L674" s="84"/>
      <c r="M674" s="53"/>
      <c r="N674" s="53"/>
      <c r="O674" s="84"/>
    </row>
    <row r="675" spans="2:15" x14ac:dyDescent="0.25">
      <c r="B675" s="84"/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53"/>
      <c r="N675" s="53"/>
      <c r="O675" s="84"/>
    </row>
    <row r="676" spans="2:15" x14ac:dyDescent="0.25">
      <c r="B676" s="84"/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53"/>
      <c r="N676" s="53"/>
      <c r="O676" s="84"/>
    </row>
    <row r="677" spans="2:15" x14ac:dyDescent="0.25">
      <c r="B677" s="84"/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53"/>
      <c r="N677" s="53"/>
      <c r="O677" s="84"/>
    </row>
    <row r="678" spans="2:15" x14ac:dyDescent="0.25">
      <c r="B678" s="84"/>
      <c r="C678" s="84"/>
      <c r="D678" s="84"/>
      <c r="E678" s="84"/>
      <c r="F678" s="84"/>
      <c r="G678" s="84"/>
      <c r="H678" s="84"/>
      <c r="I678" s="84"/>
      <c r="J678" s="84"/>
      <c r="K678" s="84"/>
      <c r="L678" s="84"/>
      <c r="M678" s="53"/>
      <c r="N678" s="53"/>
      <c r="O678" s="84"/>
    </row>
    <row r="679" spans="2:15" x14ac:dyDescent="0.25">
      <c r="B679" s="84"/>
      <c r="C679" s="84"/>
      <c r="D679" s="84"/>
      <c r="E679" s="84"/>
      <c r="F679" s="84"/>
      <c r="G679" s="84"/>
      <c r="H679" s="84"/>
      <c r="I679" s="84"/>
      <c r="J679" s="84"/>
      <c r="K679" s="84"/>
      <c r="L679" s="84"/>
      <c r="M679" s="53"/>
      <c r="N679" s="53"/>
      <c r="O679" s="84"/>
    </row>
    <row r="680" spans="2:15" x14ac:dyDescent="0.25">
      <c r="B680" s="84"/>
      <c r="C680" s="84"/>
      <c r="D680" s="84"/>
      <c r="E680" s="84"/>
      <c r="F680" s="84"/>
      <c r="G680" s="84"/>
      <c r="H680" s="84"/>
      <c r="I680" s="84"/>
      <c r="J680" s="84"/>
      <c r="K680" s="84"/>
      <c r="L680" s="84"/>
      <c r="M680" s="53"/>
      <c r="N680" s="53"/>
      <c r="O680" s="84"/>
    </row>
    <row r="681" spans="2:15" x14ac:dyDescent="0.25">
      <c r="B681" s="84"/>
      <c r="C681" s="84"/>
      <c r="D681" s="84"/>
      <c r="E681" s="84"/>
      <c r="F681" s="84"/>
      <c r="G681" s="84"/>
      <c r="H681" s="84"/>
      <c r="I681" s="84"/>
      <c r="J681" s="84"/>
      <c r="K681" s="84"/>
      <c r="L681" s="84"/>
      <c r="M681" s="53"/>
      <c r="N681" s="53"/>
      <c r="O681" s="84"/>
    </row>
    <row r="682" spans="2:15" x14ac:dyDescent="0.25">
      <c r="B682" s="84"/>
      <c r="C682" s="84"/>
      <c r="D682" s="84"/>
      <c r="E682" s="84"/>
      <c r="F682" s="84"/>
      <c r="G682" s="84"/>
      <c r="H682" s="84"/>
      <c r="I682" s="84"/>
      <c r="J682" s="84"/>
      <c r="K682" s="84"/>
      <c r="L682" s="84"/>
      <c r="M682" s="53"/>
      <c r="N682" s="53"/>
      <c r="O682" s="84"/>
    </row>
    <row r="683" spans="2:15" x14ac:dyDescent="0.25">
      <c r="B683" s="84"/>
      <c r="C683" s="84"/>
      <c r="D683" s="84"/>
      <c r="E683" s="84"/>
      <c r="F683" s="84"/>
      <c r="G683" s="84"/>
      <c r="H683" s="84"/>
      <c r="I683" s="84"/>
      <c r="J683" s="84"/>
      <c r="K683" s="84"/>
      <c r="L683" s="84"/>
      <c r="M683" s="53"/>
      <c r="N683" s="53"/>
      <c r="O683" s="84"/>
    </row>
    <row r="684" spans="2:15" x14ac:dyDescent="0.25">
      <c r="B684" s="84"/>
      <c r="C684" s="84"/>
      <c r="D684" s="84"/>
      <c r="E684" s="84"/>
      <c r="F684" s="84"/>
      <c r="G684" s="84"/>
      <c r="H684" s="84"/>
      <c r="I684" s="84"/>
      <c r="J684" s="84"/>
      <c r="K684" s="84"/>
      <c r="L684" s="84"/>
      <c r="M684" s="53"/>
      <c r="N684" s="53"/>
      <c r="O684" s="84"/>
    </row>
    <row r="685" spans="2:15" x14ac:dyDescent="0.25">
      <c r="B685" s="84"/>
      <c r="C685" s="84"/>
      <c r="D685" s="84"/>
      <c r="E685" s="84"/>
      <c r="F685" s="84"/>
      <c r="G685" s="84"/>
      <c r="H685" s="84"/>
      <c r="I685" s="84"/>
      <c r="J685" s="84"/>
      <c r="K685" s="84"/>
      <c r="L685" s="84"/>
      <c r="M685" s="53"/>
      <c r="N685" s="53"/>
      <c r="O685" s="84"/>
    </row>
    <row r="686" spans="2:15" x14ac:dyDescent="0.25">
      <c r="B686" s="84"/>
      <c r="C686" s="84"/>
      <c r="D686" s="84"/>
      <c r="E686" s="84"/>
      <c r="F686" s="84"/>
      <c r="G686" s="84"/>
      <c r="H686" s="84"/>
      <c r="I686" s="84"/>
      <c r="J686" s="84"/>
      <c r="K686" s="84"/>
      <c r="L686" s="84"/>
      <c r="M686" s="53"/>
      <c r="N686" s="53"/>
      <c r="O686" s="84"/>
    </row>
    <row r="687" spans="2:15" x14ac:dyDescent="0.25">
      <c r="B687" s="84"/>
      <c r="C687" s="84"/>
      <c r="D687" s="84"/>
      <c r="E687" s="84"/>
      <c r="F687" s="84"/>
      <c r="G687" s="84"/>
      <c r="H687" s="84"/>
      <c r="I687" s="84"/>
      <c r="J687" s="84"/>
      <c r="K687" s="84"/>
      <c r="L687" s="84"/>
      <c r="M687" s="53"/>
      <c r="N687" s="53"/>
      <c r="O687" s="84"/>
    </row>
    <row r="688" spans="2:15" x14ac:dyDescent="0.25">
      <c r="B688" s="84"/>
      <c r="C688" s="84"/>
      <c r="D688" s="84"/>
      <c r="E688" s="84"/>
      <c r="F688" s="84"/>
      <c r="G688" s="84"/>
      <c r="H688" s="84"/>
      <c r="I688" s="84"/>
      <c r="J688" s="84"/>
      <c r="K688" s="84"/>
      <c r="L688" s="84"/>
      <c r="M688" s="53"/>
      <c r="N688" s="53"/>
      <c r="O688" s="84"/>
    </row>
    <row r="689" spans="2:15" x14ac:dyDescent="0.25">
      <c r="B689" s="84"/>
      <c r="C689" s="84"/>
      <c r="D689" s="84"/>
      <c r="E689" s="84"/>
      <c r="F689" s="84"/>
      <c r="G689" s="84"/>
      <c r="H689" s="84"/>
      <c r="I689" s="84"/>
      <c r="J689" s="84"/>
      <c r="K689" s="84"/>
      <c r="L689" s="84"/>
      <c r="M689" s="53"/>
      <c r="N689" s="53"/>
      <c r="O689" s="84"/>
    </row>
    <row r="690" spans="2:15" x14ac:dyDescent="0.25">
      <c r="B690" s="84"/>
      <c r="C690" s="84"/>
      <c r="D690" s="84"/>
      <c r="E690" s="84"/>
      <c r="F690" s="84"/>
      <c r="G690" s="84"/>
      <c r="H690" s="84"/>
      <c r="I690" s="84"/>
      <c r="J690" s="84"/>
      <c r="K690" s="84"/>
      <c r="L690" s="84"/>
      <c r="M690" s="53"/>
      <c r="N690" s="53"/>
      <c r="O690" s="84"/>
    </row>
    <row r="691" spans="2:15" x14ac:dyDescent="0.25">
      <c r="B691" s="84"/>
      <c r="C691" s="84"/>
      <c r="D691" s="84"/>
      <c r="E691" s="84"/>
      <c r="F691" s="84"/>
      <c r="G691" s="84"/>
      <c r="H691" s="84"/>
      <c r="I691" s="84"/>
      <c r="J691" s="84"/>
      <c r="K691" s="84"/>
      <c r="L691" s="84"/>
      <c r="M691" s="53"/>
      <c r="N691" s="53"/>
      <c r="O691" s="84"/>
    </row>
    <row r="692" spans="2:15" x14ac:dyDescent="0.25">
      <c r="B692" s="84"/>
      <c r="C692" s="84"/>
      <c r="D692" s="84"/>
      <c r="E692" s="84"/>
      <c r="F692" s="84"/>
      <c r="G692" s="84"/>
      <c r="H692" s="84"/>
      <c r="I692" s="84"/>
      <c r="J692" s="84"/>
      <c r="K692" s="84"/>
      <c r="L692" s="84"/>
      <c r="M692" s="53"/>
      <c r="N692" s="53"/>
      <c r="O692" s="84"/>
    </row>
    <row r="693" spans="2:15" x14ac:dyDescent="0.25">
      <c r="B693" s="84"/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53"/>
      <c r="N693" s="53"/>
      <c r="O693" s="84"/>
    </row>
    <row r="694" spans="2:15" x14ac:dyDescent="0.25">
      <c r="B694" s="84"/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53"/>
      <c r="N694" s="53"/>
      <c r="O694" s="84"/>
    </row>
    <row r="695" spans="2:15" x14ac:dyDescent="0.25">
      <c r="B695" s="84"/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53"/>
      <c r="N695" s="53"/>
      <c r="O695" s="84"/>
    </row>
    <row r="696" spans="2:15" x14ac:dyDescent="0.25">
      <c r="B696" s="84"/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53"/>
      <c r="N696" s="53"/>
      <c r="O696" s="84"/>
    </row>
    <row r="697" spans="2:15" x14ac:dyDescent="0.25">
      <c r="B697" s="84"/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53"/>
      <c r="N697" s="53"/>
      <c r="O697" s="84"/>
    </row>
    <row r="698" spans="2:15" x14ac:dyDescent="0.25">
      <c r="B698" s="84"/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53"/>
      <c r="N698" s="53"/>
      <c r="O698" s="84"/>
    </row>
    <row r="699" spans="2:15" x14ac:dyDescent="0.25">
      <c r="B699" s="84"/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53"/>
      <c r="N699" s="53"/>
      <c r="O699" s="84"/>
    </row>
    <row r="700" spans="2:15" x14ac:dyDescent="0.25">
      <c r="B700" s="84"/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53"/>
      <c r="N700" s="53"/>
      <c r="O700" s="84"/>
    </row>
    <row r="701" spans="2:15" x14ac:dyDescent="0.25">
      <c r="B701" s="84"/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53"/>
      <c r="N701" s="53"/>
      <c r="O701" s="84"/>
    </row>
    <row r="702" spans="2:15" x14ac:dyDescent="0.25">
      <c r="B702" s="84"/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53"/>
      <c r="N702" s="53"/>
      <c r="O702" s="84"/>
    </row>
    <row r="703" spans="2:15" x14ac:dyDescent="0.25">
      <c r="B703" s="84"/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53"/>
      <c r="N703" s="53"/>
      <c r="O703" s="84"/>
    </row>
    <row r="704" spans="2:15" x14ac:dyDescent="0.25">
      <c r="B704" s="84"/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53"/>
      <c r="N704" s="53"/>
      <c r="O704" s="84"/>
    </row>
    <row r="705" spans="2:15" x14ac:dyDescent="0.25">
      <c r="B705" s="84"/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53"/>
      <c r="N705" s="53"/>
      <c r="O705" s="84"/>
    </row>
    <row r="706" spans="2:15" x14ac:dyDescent="0.25">
      <c r="B706" s="84"/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53"/>
      <c r="N706" s="53"/>
      <c r="O706" s="84"/>
    </row>
    <row r="707" spans="2:15" x14ac:dyDescent="0.25">
      <c r="B707" s="84"/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53"/>
      <c r="N707" s="53"/>
      <c r="O707" s="84"/>
    </row>
    <row r="708" spans="2:15" x14ac:dyDescent="0.25">
      <c r="B708" s="84"/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53"/>
      <c r="N708" s="53"/>
      <c r="O708" s="84"/>
    </row>
    <row r="709" spans="2:15" x14ac:dyDescent="0.25">
      <c r="B709" s="84"/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53"/>
      <c r="N709" s="53"/>
      <c r="O709" s="84"/>
    </row>
    <row r="710" spans="2:15" x14ac:dyDescent="0.25">
      <c r="B710" s="84"/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53"/>
      <c r="N710" s="53"/>
      <c r="O710" s="84"/>
    </row>
    <row r="711" spans="2:15" x14ac:dyDescent="0.25">
      <c r="B711" s="84"/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53"/>
      <c r="N711" s="53"/>
      <c r="O711" s="84"/>
    </row>
    <row r="712" spans="2:15" x14ac:dyDescent="0.25">
      <c r="B712" s="84"/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53"/>
      <c r="N712" s="53"/>
      <c r="O712" s="84"/>
    </row>
    <row r="713" spans="2:15" x14ac:dyDescent="0.25">
      <c r="B713" s="84"/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53"/>
      <c r="N713" s="53"/>
      <c r="O713" s="84"/>
    </row>
    <row r="714" spans="2:15" x14ac:dyDescent="0.25">
      <c r="B714" s="84"/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53"/>
      <c r="N714" s="53"/>
      <c r="O714" s="84"/>
    </row>
    <row r="715" spans="2:15" x14ac:dyDescent="0.25">
      <c r="B715" s="84"/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53"/>
      <c r="N715" s="53"/>
      <c r="O715" s="84"/>
    </row>
    <row r="716" spans="2:15" x14ac:dyDescent="0.25">
      <c r="B716" s="84"/>
      <c r="C716" s="84"/>
      <c r="D716" s="84"/>
      <c r="E716" s="84"/>
      <c r="F716" s="84"/>
      <c r="G716" s="84"/>
      <c r="H716" s="84"/>
      <c r="I716" s="84"/>
      <c r="J716" s="84"/>
      <c r="K716" s="84"/>
      <c r="L716" s="84"/>
      <c r="M716" s="53"/>
      <c r="N716" s="53"/>
      <c r="O716" s="84"/>
    </row>
    <row r="717" spans="2:15" x14ac:dyDescent="0.25">
      <c r="B717" s="84"/>
      <c r="C717" s="84"/>
      <c r="D717" s="84"/>
      <c r="E717" s="84"/>
      <c r="F717" s="84"/>
      <c r="G717" s="84"/>
      <c r="H717" s="84"/>
      <c r="I717" s="84"/>
      <c r="J717" s="84"/>
      <c r="K717" s="84"/>
      <c r="L717" s="84"/>
      <c r="M717" s="53"/>
      <c r="N717" s="53"/>
      <c r="O717" s="84"/>
    </row>
    <row r="718" spans="2:15" x14ac:dyDescent="0.25">
      <c r="B718" s="84"/>
      <c r="C718" s="84"/>
      <c r="D718" s="84"/>
      <c r="E718" s="84"/>
      <c r="F718" s="84"/>
      <c r="G718" s="84"/>
      <c r="H718" s="84"/>
      <c r="I718" s="84"/>
      <c r="J718" s="84"/>
      <c r="K718" s="84"/>
      <c r="L718" s="84"/>
      <c r="M718" s="53"/>
      <c r="N718" s="53"/>
      <c r="O718" s="84"/>
    </row>
    <row r="719" spans="2:15" x14ac:dyDescent="0.25">
      <c r="B719" s="84"/>
      <c r="C719" s="84"/>
      <c r="D719" s="84"/>
      <c r="E719" s="84"/>
      <c r="F719" s="84"/>
      <c r="G719" s="84"/>
      <c r="H719" s="84"/>
      <c r="I719" s="84"/>
      <c r="J719" s="84"/>
      <c r="K719" s="84"/>
      <c r="L719" s="84"/>
      <c r="M719" s="53"/>
      <c r="N719" s="53"/>
      <c r="O719" s="84"/>
    </row>
    <row r="720" spans="2:15" x14ac:dyDescent="0.25">
      <c r="B720" s="84"/>
      <c r="C720" s="84"/>
      <c r="D720" s="84"/>
      <c r="E720" s="84"/>
      <c r="F720" s="84"/>
      <c r="G720" s="84"/>
      <c r="H720" s="84"/>
      <c r="I720" s="84"/>
      <c r="J720" s="84"/>
      <c r="K720" s="84"/>
      <c r="L720" s="84"/>
      <c r="M720" s="53"/>
      <c r="N720" s="53"/>
      <c r="O720" s="84"/>
    </row>
    <row r="721" spans="2:15" x14ac:dyDescent="0.25">
      <c r="B721" s="84"/>
      <c r="C721" s="84"/>
      <c r="D721" s="84"/>
      <c r="E721" s="84"/>
      <c r="F721" s="84"/>
      <c r="G721" s="84"/>
      <c r="H721" s="84"/>
      <c r="I721" s="84"/>
      <c r="J721" s="84"/>
      <c r="K721" s="84"/>
      <c r="L721" s="84"/>
      <c r="M721" s="53"/>
      <c r="N721" s="53"/>
      <c r="O721" s="84"/>
    </row>
    <row r="722" spans="2:15" x14ac:dyDescent="0.25">
      <c r="B722" s="84"/>
      <c r="C722" s="84"/>
      <c r="D722" s="84"/>
      <c r="E722" s="84"/>
      <c r="F722" s="84"/>
      <c r="G722" s="84"/>
      <c r="H722" s="84"/>
      <c r="I722" s="84"/>
      <c r="J722" s="84"/>
      <c r="K722" s="84"/>
      <c r="L722" s="84"/>
      <c r="M722" s="53"/>
      <c r="N722" s="53"/>
      <c r="O722" s="84"/>
    </row>
    <row r="723" spans="2:15" x14ac:dyDescent="0.25">
      <c r="B723" s="84"/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53"/>
      <c r="N723" s="53"/>
      <c r="O723" s="84"/>
    </row>
    <row r="724" spans="2:15" x14ac:dyDescent="0.25">
      <c r="B724" s="84"/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53"/>
      <c r="N724" s="53"/>
      <c r="O724" s="84"/>
    </row>
    <row r="725" spans="2:15" x14ac:dyDescent="0.25">
      <c r="B725" s="84"/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53"/>
      <c r="N725" s="53"/>
      <c r="O725" s="84"/>
    </row>
    <row r="726" spans="2:15" x14ac:dyDescent="0.25">
      <c r="B726" s="84"/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53"/>
      <c r="N726" s="53"/>
      <c r="O726" s="84"/>
    </row>
    <row r="727" spans="2:15" x14ac:dyDescent="0.25">
      <c r="B727" s="84"/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53"/>
      <c r="N727" s="53"/>
      <c r="O727" s="84"/>
    </row>
    <row r="728" spans="2:15" x14ac:dyDescent="0.25">
      <c r="B728" s="84"/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53"/>
      <c r="N728" s="53"/>
      <c r="O728" s="84"/>
    </row>
    <row r="729" spans="2:15" x14ac:dyDescent="0.25">
      <c r="B729" s="84"/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53"/>
      <c r="N729" s="53"/>
      <c r="O729" s="84"/>
    </row>
    <row r="730" spans="2:15" x14ac:dyDescent="0.25">
      <c r="B730" s="84"/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53"/>
      <c r="N730" s="53"/>
      <c r="O730" s="84"/>
    </row>
    <row r="731" spans="2:15" x14ac:dyDescent="0.25">
      <c r="B731" s="84"/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53"/>
      <c r="N731" s="53"/>
      <c r="O731" s="84"/>
    </row>
    <row r="732" spans="2:15" x14ac:dyDescent="0.25">
      <c r="B732" s="84"/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53"/>
      <c r="N732" s="53"/>
      <c r="O732" s="84"/>
    </row>
    <row r="733" spans="2:15" x14ac:dyDescent="0.25">
      <c r="B733" s="84"/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53"/>
      <c r="N733" s="53"/>
      <c r="O733" s="84"/>
    </row>
    <row r="734" spans="2:15" x14ac:dyDescent="0.25">
      <c r="B734" s="84"/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53"/>
      <c r="N734" s="53"/>
      <c r="O734" s="84"/>
    </row>
    <row r="735" spans="2:15" x14ac:dyDescent="0.25">
      <c r="B735" s="84"/>
      <c r="C735" s="84"/>
      <c r="D735" s="84"/>
      <c r="E735" s="84"/>
      <c r="F735" s="84"/>
      <c r="G735" s="84"/>
      <c r="H735" s="84"/>
      <c r="I735" s="84"/>
      <c r="J735" s="84"/>
      <c r="K735" s="84"/>
      <c r="L735" s="84"/>
      <c r="M735" s="53"/>
      <c r="N735" s="53"/>
      <c r="O735" s="84"/>
    </row>
    <row r="736" spans="2:15" x14ac:dyDescent="0.25">
      <c r="B736" s="84"/>
      <c r="C736" s="84"/>
      <c r="D736" s="84"/>
      <c r="E736" s="84"/>
      <c r="F736" s="84"/>
      <c r="G736" s="84"/>
      <c r="H736" s="84"/>
      <c r="I736" s="84"/>
      <c r="J736" s="84"/>
      <c r="K736" s="84"/>
      <c r="L736" s="84"/>
      <c r="M736" s="53"/>
      <c r="N736" s="53"/>
      <c r="O736" s="84"/>
    </row>
    <row r="737" spans="2:15" x14ac:dyDescent="0.25">
      <c r="B737" s="84"/>
      <c r="C737" s="84"/>
      <c r="D737" s="84"/>
      <c r="E737" s="84"/>
      <c r="F737" s="84"/>
      <c r="G737" s="84"/>
      <c r="H737" s="84"/>
      <c r="I737" s="84"/>
      <c r="J737" s="84"/>
      <c r="K737" s="84"/>
      <c r="L737" s="84"/>
      <c r="M737" s="53"/>
      <c r="N737" s="53"/>
      <c r="O737" s="84"/>
    </row>
    <row r="738" spans="2:15" x14ac:dyDescent="0.25">
      <c r="B738" s="84"/>
      <c r="C738" s="84"/>
      <c r="D738" s="84"/>
      <c r="E738" s="84"/>
      <c r="F738" s="84"/>
      <c r="G738" s="84"/>
      <c r="H738" s="84"/>
      <c r="I738" s="84"/>
      <c r="J738" s="84"/>
      <c r="K738" s="84"/>
      <c r="L738" s="84"/>
      <c r="M738" s="53"/>
      <c r="N738" s="53"/>
      <c r="O738" s="84"/>
    </row>
    <row r="739" spans="2:15" x14ac:dyDescent="0.25">
      <c r="B739" s="84"/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53"/>
      <c r="N739" s="53"/>
      <c r="O739" s="84"/>
    </row>
    <row r="740" spans="2:15" x14ac:dyDescent="0.25">
      <c r="B740" s="84"/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53"/>
      <c r="N740" s="53"/>
      <c r="O740" s="84"/>
    </row>
    <row r="741" spans="2:15" x14ac:dyDescent="0.25">
      <c r="B741" s="84"/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53"/>
      <c r="N741" s="53"/>
      <c r="O741" s="84"/>
    </row>
    <row r="742" spans="2:15" x14ac:dyDescent="0.25">
      <c r="B742" s="84"/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53"/>
      <c r="N742" s="53"/>
      <c r="O742" s="84"/>
    </row>
    <row r="743" spans="2:15" x14ac:dyDescent="0.25">
      <c r="B743" s="84"/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53"/>
      <c r="N743" s="53"/>
      <c r="O743" s="84"/>
    </row>
    <row r="744" spans="2:15" x14ac:dyDescent="0.25">
      <c r="B744" s="84"/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53"/>
      <c r="N744" s="53"/>
      <c r="O744" s="84"/>
    </row>
    <row r="745" spans="2:15" x14ac:dyDescent="0.25">
      <c r="B745" s="84"/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53"/>
      <c r="N745" s="53"/>
      <c r="O745" s="84"/>
    </row>
    <row r="746" spans="2:15" x14ac:dyDescent="0.25">
      <c r="B746" s="84"/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53"/>
      <c r="N746" s="53"/>
      <c r="O746" s="84"/>
    </row>
    <row r="747" spans="2:15" x14ac:dyDescent="0.25">
      <c r="B747" s="84"/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53"/>
      <c r="N747" s="53"/>
      <c r="O747" s="84"/>
    </row>
    <row r="748" spans="2:15" x14ac:dyDescent="0.25">
      <c r="B748" s="84"/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53"/>
      <c r="N748" s="53"/>
      <c r="O748" s="84"/>
    </row>
    <row r="749" spans="2:15" x14ac:dyDescent="0.25">
      <c r="B749" s="84"/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53"/>
      <c r="N749" s="53"/>
      <c r="O749" s="84"/>
    </row>
    <row r="750" spans="2:15" x14ac:dyDescent="0.25">
      <c r="B750" s="84"/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53"/>
      <c r="N750" s="53"/>
      <c r="O750" s="84"/>
    </row>
    <row r="751" spans="2:15" x14ac:dyDescent="0.25">
      <c r="B751" s="84"/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53"/>
      <c r="N751" s="53"/>
      <c r="O751" s="84"/>
    </row>
    <row r="752" spans="2:15" x14ac:dyDescent="0.25">
      <c r="B752" s="84"/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53"/>
      <c r="N752" s="53"/>
      <c r="O752" s="84"/>
    </row>
    <row r="753" spans="2:15" x14ac:dyDescent="0.25">
      <c r="B753" s="84"/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53"/>
      <c r="N753" s="53"/>
      <c r="O753" s="84"/>
    </row>
    <row r="754" spans="2:15" x14ac:dyDescent="0.25">
      <c r="B754" s="84"/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53"/>
      <c r="N754" s="53"/>
      <c r="O754" s="84"/>
    </row>
    <row r="755" spans="2:15" x14ac:dyDescent="0.25">
      <c r="B755" s="84"/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53"/>
      <c r="N755" s="53"/>
      <c r="O755" s="84"/>
    </row>
    <row r="756" spans="2:15" x14ac:dyDescent="0.25">
      <c r="B756" s="84"/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53"/>
      <c r="N756" s="53"/>
      <c r="O756" s="84"/>
    </row>
    <row r="757" spans="2:15" x14ac:dyDescent="0.25">
      <c r="B757" s="84"/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53"/>
      <c r="N757" s="53"/>
      <c r="O757" s="84"/>
    </row>
    <row r="758" spans="2:15" x14ac:dyDescent="0.25">
      <c r="B758" s="84"/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53"/>
      <c r="N758" s="53"/>
      <c r="O758" s="84"/>
    </row>
    <row r="759" spans="2:15" x14ac:dyDescent="0.25">
      <c r="B759" s="84"/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53"/>
      <c r="N759" s="53"/>
      <c r="O759" s="84"/>
    </row>
    <row r="760" spans="2:15" x14ac:dyDescent="0.25">
      <c r="B760" s="84"/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53"/>
      <c r="N760" s="53"/>
      <c r="O760" s="84"/>
    </row>
    <row r="761" spans="2:15" x14ac:dyDescent="0.25">
      <c r="B761" s="84"/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53"/>
      <c r="N761" s="53"/>
      <c r="O761" s="84"/>
    </row>
    <row r="762" spans="2:15" x14ac:dyDescent="0.25">
      <c r="B762" s="84"/>
      <c r="C762" s="84"/>
      <c r="D762" s="84"/>
      <c r="E762" s="84"/>
      <c r="F762" s="84"/>
      <c r="G762" s="84"/>
      <c r="H762" s="84"/>
      <c r="I762" s="84"/>
      <c r="J762" s="84"/>
      <c r="K762" s="84"/>
      <c r="L762" s="84"/>
      <c r="M762" s="53"/>
      <c r="N762" s="53"/>
      <c r="O762" s="84"/>
    </row>
    <row r="763" spans="2:15" x14ac:dyDescent="0.25">
      <c r="B763" s="84"/>
      <c r="C763" s="84"/>
      <c r="D763" s="84"/>
      <c r="E763" s="84"/>
      <c r="F763" s="84"/>
      <c r="G763" s="84"/>
      <c r="H763" s="84"/>
      <c r="I763" s="84"/>
      <c r="J763" s="84"/>
      <c r="K763" s="84"/>
      <c r="L763" s="84"/>
      <c r="M763" s="53"/>
      <c r="N763" s="53"/>
      <c r="O763" s="84"/>
    </row>
    <row r="764" spans="2:15" x14ac:dyDescent="0.25">
      <c r="B764" s="84"/>
      <c r="C764" s="84"/>
      <c r="D764" s="84"/>
      <c r="E764" s="84"/>
      <c r="F764" s="84"/>
      <c r="G764" s="84"/>
      <c r="H764" s="84"/>
      <c r="I764" s="84"/>
      <c r="J764" s="84"/>
      <c r="K764" s="84"/>
      <c r="L764" s="84"/>
      <c r="M764" s="53"/>
      <c r="N764" s="53"/>
      <c r="O764" s="84"/>
    </row>
    <row r="765" spans="2:15" x14ac:dyDescent="0.25">
      <c r="B765" s="84"/>
      <c r="C765" s="84"/>
      <c r="D765" s="84"/>
      <c r="E765" s="84"/>
      <c r="F765" s="84"/>
      <c r="G765" s="84"/>
      <c r="H765" s="84"/>
      <c r="I765" s="84"/>
      <c r="J765" s="84"/>
      <c r="K765" s="84"/>
      <c r="L765" s="84"/>
      <c r="M765" s="53"/>
      <c r="N765" s="53"/>
      <c r="O765" s="84"/>
    </row>
    <row r="766" spans="2:15" x14ac:dyDescent="0.25">
      <c r="B766" s="84"/>
      <c r="C766" s="84"/>
      <c r="D766" s="84"/>
      <c r="E766" s="84"/>
      <c r="F766" s="84"/>
      <c r="G766" s="84"/>
      <c r="H766" s="84"/>
      <c r="I766" s="84"/>
      <c r="J766" s="84"/>
      <c r="K766" s="84"/>
      <c r="L766" s="84"/>
      <c r="M766" s="53"/>
      <c r="N766" s="53"/>
      <c r="O766" s="84"/>
    </row>
    <row r="767" spans="2:15" x14ac:dyDescent="0.25">
      <c r="B767" s="84"/>
      <c r="C767" s="84"/>
      <c r="D767" s="84"/>
      <c r="E767" s="84"/>
      <c r="F767" s="84"/>
      <c r="G767" s="84"/>
      <c r="H767" s="84"/>
      <c r="I767" s="84"/>
      <c r="J767" s="84"/>
      <c r="K767" s="84"/>
      <c r="L767" s="84"/>
      <c r="M767" s="53"/>
      <c r="N767" s="53"/>
      <c r="O767" s="84"/>
    </row>
    <row r="768" spans="2:15" x14ac:dyDescent="0.25">
      <c r="B768" s="84"/>
      <c r="C768" s="84"/>
      <c r="D768" s="84"/>
      <c r="E768" s="84"/>
      <c r="F768" s="84"/>
      <c r="G768" s="84"/>
      <c r="H768" s="84"/>
      <c r="I768" s="84"/>
      <c r="J768" s="84"/>
      <c r="K768" s="84"/>
      <c r="L768" s="84"/>
      <c r="M768" s="53"/>
      <c r="N768" s="53"/>
      <c r="O768" s="84"/>
    </row>
    <row r="769" spans="2:15" x14ac:dyDescent="0.25">
      <c r="B769" s="84"/>
      <c r="C769" s="84"/>
      <c r="D769" s="84"/>
      <c r="E769" s="84"/>
      <c r="F769" s="84"/>
      <c r="G769" s="84"/>
      <c r="H769" s="84"/>
      <c r="I769" s="84"/>
      <c r="J769" s="84"/>
      <c r="K769" s="84"/>
      <c r="L769" s="84"/>
      <c r="M769" s="53"/>
      <c r="N769" s="53"/>
      <c r="O769" s="84"/>
    </row>
    <row r="770" spans="2:15" x14ac:dyDescent="0.25">
      <c r="B770" s="84"/>
      <c r="C770" s="84"/>
      <c r="D770" s="84"/>
      <c r="E770" s="84"/>
      <c r="F770" s="84"/>
      <c r="G770" s="84"/>
      <c r="H770" s="84"/>
      <c r="I770" s="84"/>
      <c r="J770" s="84"/>
      <c r="K770" s="84"/>
      <c r="L770" s="84"/>
      <c r="M770" s="53"/>
      <c r="N770" s="53"/>
      <c r="O770" s="84"/>
    </row>
    <row r="771" spans="2:15" x14ac:dyDescent="0.25">
      <c r="B771" s="84"/>
      <c r="C771" s="84"/>
      <c r="D771" s="84"/>
      <c r="E771" s="84"/>
      <c r="F771" s="84"/>
      <c r="G771" s="84"/>
      <c r="H771" s="84"/>
      <c r="I771" s="84"/>
      <c r="J771" s="84"/>
      <c r="K771" s="84"/>
      <c r="L771" s="84"/>
      <c r="M771" s="53"/>
      <c r="N771" s="53"/>
      <c r="O771" s="84"/>
    </row>
    <row r="772" spans="2:15" x14ac:dyDescent="0.25">
      <c r="B772" s="84"/>
      <c r="C772" s="84"/>
      <c r="D772" s="84"/>
      <c r="E772" s="84"/>
      <c r="F772" s="84"/>
      <c r="G772" s="84"/>
      <c r="H772" s="84"/>
      <c r="I772" s="84"/>
      <c r="J772" s="84"/>
      <c r="K772" s="84"/>
      <c r="L772" s="84"/>
      <c r="M772" s="53"/>
      <c r="N772" s="53"/>
      <c r="O772" s="84"/>
    </row>
    <row r="773" spans="2:15" x14ac:dyDescent="0.25">
      <c r="B773" s="84"/>
      <c r="C773" s="84"/>
      <c r="D773" s="84"/>
      <c r="E773" s="84"/>
      <c r="F773" s="84"/>
      <c r="G773" s="84"/>
      <c r="H773" s="84"/>
      <c r="I773" s="84"/>
      <c r="J773" s="84"/>
      <c r="K773" s="84"/>
      <c r="L773" s="84"/>
      <c r="M773" s="53"/>
      <c r="N773" s="53"/>
      <c r="O773" s="84"/>
    </row>
    <row r="774" spans="2:15" x14ac:dyDescent="0.25">
      <c r="B774" s="84"/>
      <c r="C774" s="84"/>
      <c r="D774" s="84"/>
      <c r="E774" s="84"/>
      <c r="F774" s="84"/>
      <c r="G774" s="84"/>
      <c r="H774" s="84"/>
      <c r="I774" s="84"/>
      <c r="J774" s="84"/>
      <c r="K774" s="84"/>
      <c r="L774" s="84"/>
      <c r="M774" s="53"/>
      <c r="N774" s="53"/>
      <c r="O774" s="84"/>
    </row>
    <row r="775" spans="2:15" x14ac:dyDescent="0.25">
      <c r="B775" s="84"/>
      <c r="C775" s="84"/>
      <c r="D775" s="84"/>
      <c r="E775" s="84"/>
      <c r="F775" s="84"/>
      <c r="G775" s="84"/>
      <c r="H775" s="84"/>
      <c r="I775" s="84"/>
      <c r="J775" s="84"/>
      <c r="K775" s="84"/>
      <c r="L775" s="84"/>
      <c r="M775" s="53"/>
      <c r="N775" s="53"/>
      <c r="O775" s="84"/>
    </row>
    <row r="776" spans="2:15" x14ac:dyDescent="0.25">
      <c r="B776" s="84"/>
      <c r="C776" s="84"/>
      <c r="D776" s="84"/>
      <c r="E776" s="84"/>
      <c r="F776" s="84"/>
      <c r="G776" s="84"/>
      <c r="H776" s="84"/>
      <c r="I776" s="84"/>
      <c r="J776" s="84"/>
      <c r="K776" s="84"/>
      <c r="L776" s="84"/>
      <c r="M776" s="53"/>
      <c r="N776" s="53"/>
      <c r="O776" s="84"/>
    </row>
    <row r="777" spans="2:15" x14ac:dyDescent="0.25">
      <c r="B777" s="84"/>
      <c r="C777" s="84"/>
      <c r="D777" s="84"/>
      <c r="E777" s="84"/>
      <c r="F777" s="84"/>
      <c r="G777" s="84"/>
      <c r="H777" s="84"/>
      <c r="I777" s="84"/>
      <c r="J777" s="84"/>
      <c r="K777" s="84"/>
      <c r="L777" s="84"/>
      <c r="M777" s="53"/>
      <c r="N777" s="53"/>
      <c r="O777" s="84"/>
    </row>
    <row r="778" spans="2:15" x14ac:dyDescent="0.25">
      <c r="B778" s="84"/>
      <c r="C778" s="84"/>
      <c r="D778" s="84"/>
      <c r="E778" s="84"/>
      <c r="F778" s="84"/>
      <c r="G778" s="84"/>
      <c r="H778" s="84"/>
      <c r="I778" s="84"/>
      <c r="J778" s="84"/>
      <c r="K778" s="84"/>
      <c r="L778" s="84"/>
      <c r="M778" s="53"/>
      <c r="N778" s="53"/>
      <c r="O778" s="84"/>
    </row>
    <row r="779" spans="2:15" x14ac:dyDescent="0.25">
      <c r="B779" s="84"/>
      <c r="C779" s="84"/>
      <c r="D779" s="84"/>
      <c r="E779" s="84"/>
      <c r="F779" s="84"/>
      <c r="G779" s="84"/>
      <c r="H779" s="84"/>
      <c r="I779" s="84"/>
      <c r="J779" s="84"/>
      <c r="K779" s="84"/>
      <c r="L779" s="84"/>
      <c r="M779" s="53"/>
      <c r="N779" s="53"/>
      <c r="O779" s="84"/>
    </row>
    <row r="780" spans="2:15" x14ac:dyDescent="0.25">
      <c r="B780" s="84"/>
      <c r="C780" s="84"/>
      <c r="D780" s="84"/>
      <c r="E780" s="84"/>
      <c r="F780" s="84"/>
      <c r="G780" s="84"/>
      <c r="H780" s="84"/>
      <c r="I780" s="84"/>
      <c r="J780" s="84"/>
      <c r="K780" s="84"/>
      <c r="L780" s="84"/>
      <c r="M780" s="53"/>
      <c r="N780" s="53"/>
      <c r="O780" s="84"/>
    </row>
    <row r="781" spans="2:15" x14ac:dyDescent="0.25">
      <c r="B781" s="84"/>
      <c r="C781" s="84"/>
      <c r="D781" s="84"/>
      <c r="E781" s="84"/>
      <c r="F781" s="84"/>
      <c r="G781" s="84"/>
      <c r="H781" s="84"/>
      <c r="I781" s="84"/>
      <c r="J781" s="84"/>
      <c r="K781" s="84"/>
      <c r="L781" s="84"/>
      <c r="M781" s="53"/>
      <c r="N781" s="53"/>
      <c r="O781" s="84"/>
    </row>
    <row r="782" spans="2:15" x14ac:dyDescent="0.25">
      <c r="B782" s="84"/>
      <c r="C782" s="84"/>
      <c r="D782" s="84"/>
      <c r="E782" s="84"/>
      <c r="F782" s="84"/>
      <c r="G782" s="84"/>
      <c r="H782" s="84"/>
      <c r="I782" s="84"/>
      <c r="J782" s="84"/>
      <c r="K782" s="84"/>
      <c r="L782" s="84"/>
      <c r="M782" s="53"/>
      <c r="N782" s="53"/>
      <c r="O782" s="84"/>
    </row>
    <row r="783" spans="2:15" x14ac:dyDescent="0.25">
      <c r="B783" s="84"/>
      <c r="C783" s="84"/>
      <c r="D783" s="84"/>
      <c r="E783" s="84"/>
      <c r="F783" s="84"/>
      <c r="G783" s="84"/>
      <c r="H783" s="84"/>
      <c r="I783" s="84"/>
      <c r="J783" s="84"/>
      <c r="K783" s="84"/>
      <c r="L783" s="84"/>
      <c r="M783" s="53"/>
      <c r="N783" s="53"/>
      <c r="O783" s="84"/>
    </row>
    <row r="784" spans="2:15" x14ac:dyDescent="0.25">
      <c r="B784" s="84"/>
      <c r="C784" s="84"/>
      <c r="D784" s="84"/>
      <c r="E784" s="84"/>
      <c r="F784" s="84"/>
      <c r="G784" s="84"/>
      <c r="H784" s="84"/>
      <c r="I784" s="84"/>
      <c r="J784" s="84"/>
      <c r="K784" s="84"/>
      <c r="L784" s="84"/>
      <c r="M784" s="53"/>
      <c r="N784" s="53"/>
      <c r="O784" s="84"/>
    </row>
    <row r="785" spans="2:15" x14ac:dyDescent="0.25">
      <c r="B785" s="84"/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53"/>
      <c r="N785" s="53"/>
      <c r="O785" s="84"/>
    </row>
    <row r="786" spans="2:15" x14ac:dyDescent="0.25">
      <c r="B786" s="84"/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53"/>
      <c r="N786" s="53"/>
      <c r="O786" s="84"/>
    </row>
    <row r="787" spans="2:15" x14ac:dyDescent="0.25">
      <c r="B787" s="84"/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53"/>
      <c r="N787" s="53"/>
      <c r="O787" s="84"/>
    </row>
    <row r="788" spans="2:15" x14ac:dyDescent="0.25">
      <c r="B788" s="84"/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53"/>
      <c r="N788" s="53"/>
      <c r="O788" s="84"/>
    </row>
    <row r="789" spans="2:15" x14ac:dyDescent="0.25">
      <c r="B789" s="84"/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53"/>
      <c r="N789" s="53"/>
      <c r="O789" s="84"/>
    </row>
    <row r="790" spans="2:15" x14ac:dyDescent="0.25">
      <c r="B790" s="84"/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53"/>
      <c r="N790" s="53"/>
      <c r="O790" s="84"/>
    </row>
    <row r="791" spans="2:15" x14ac:dyDescent="0.25">
      <c r="B791" s="84"/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53"/>
      <c r="N791" s="53"/>
      <c r="O791" s="84"/>
    </row>
    <row r="792" spans="2:15" x14ac:dyDescent="0.25">
      <c r="B792" s="84"/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53"/>
      <c r="N792" s="53"/>
      <c r="O792" s="84"/>
    </row>
    <row r="793" spans="2:15" x14ac:dyDescent="0.25">
      <c r="B793" s="84"/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53"/>
      <c r="N793" s="53"/>
      <c r="O793" s="84"/>
    </row>
    <row r="794" spans="2:15" x14ac:dyDescent="0.25">
      <c r="B794" s="84"/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53"/>
      <c r="N794" s="53"/>
      <c r="O794" s="84"/>
    </row>
    <row r="795" spans="2:15" x14ac:dyDescent="0.25">
      <c r="B795" s="84"/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53"/>
      <c r="N795" s="53"/>
      <c r="O795" s="84"/>
    </row>
    <row r="796" spans="2:15" x14ac:dyDescent="0.25">
      <c r="B796" s="84"/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53"/>
      <c r="N796" s="53"/>
      <c r="O796" s="84"/>
    </row>
    <row r="797" spans="2:15" x14ac:dyDescent="0.25">
      <c r="B797" s="84"/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53"/>
      <c r="N797" s="53"/>
      <c r="O797" s="84"/>
    </row>
    <row r="798" spans="2:15" x14ac:dyDescent="0.25">
      <c r="B798" s="84"/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53"/>
      <c r="N798" s="53"/>
      <c r="O798" s="84"/>
    </row>
    <row r="799" spans="2:15" x14ac:dyDescent="0.25">
      <c r="B799" s="84"/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53"/>
      <c r="N799" s="53"/>
      <c r="O799" s="84"/>
    </row>
    <row r="800" spans="2:15" x14ac:dyDescent="0.25">
      <c r="B800" s="84"/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53"/>
      <c r="N800" s="53"/>
      <c r="O800" s="84"/>
    </row>
    <row r="801" spans="2:15" x14ac:dyDescent="0.25">
      <c r="B801" s="84"/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53"/>
      <c r="N801" s="53"/>
      <c r="O801" s="84"/>
    </row>
    <row r="802" spans="2:15" x14ac:dyDescent="0.25">
      <c r="B802" s="84"/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53"/>
      <c r="N802" s="53"/>
      <c r="O802" s="84"/>
    </row>
    <row r="803" spans="2:15" x14ac:dyDescent="0.25">
      <c r="B803" s="84"/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53"/>
      <c r="N803" s="53"/>
      <c r="O803" s="84"/>
    </row>
    <row r="804" spans="2:15" x14ac:dyDescent="0.25">
      <c r="B804" s="84"/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53"/>
      <c r="N804" s="53"/>
      <c r="O804" s="84"/>
    </row>
    <row r="805" spans="2:15" x14ac:dyDescent="0.25">
      <c r="B805" s="84"/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53"/>
      <c r="N805" s="53"/>
      <c r="O805" s="84"/>
    </row>
    <row r="806" spans="2:15" x14ac:dyDescent="0.25">
      <c r="B806" s="84"/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53"/>
      <c r="N806" s="53"/>
      <c r="O806" s="84"/>
    </row>
    <row r="807" spans="2:15" x14ac:dyDescent="0.25">
      <c r="B807" s="84"/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53"/>
      <c r="N807" s="53"/>
      <c r="O807" s="84"/>
    </row>
    <row r="808" spans="2:15" x14ac:dyDescent="0.25">
      <c r="B808" s="84"/>
      <c r="C808" s="84"/>
      <c r="D808" s="84"/>
      <c r="E808" s="84"/>
      <c r="F808" s="84"/>
      <c r="G808" s="84"/>
      <c r="H808" s="84"/>
      <c r="I808" s="84"/>
      <c r="J808" s="84"/>
      <c r="K808" s="84"/>
      <c r="L808" s="84"/>
      <c r="M808" s="53"/>
      <c r="N808" s="53"/>
      <c r="O808" s="84"/>
    </row>
    <row r="809" spans="2:15" x14ac:dyDescent="0.25">
      <c r="B809" s="84"/>
      <c r="C809" s="84"/>
      <c r="D809" s="84"/>
      <c r="E809" s="84"/>
      <c r="F809" s="84"/>
      <c r="G809" s="84"/>
      <c r="H809" s="84"/>
      <c r="I809" s="84"/>
      <c r="J809" s="84"/>
      <c r="K809" s="84"/>
      <c r="L809" s="84"/>
      <c r="M809" s="53"/>
      <c r="N809" s="53"/>
      <c r="O809" s="84"/>
    </row>
    <row r="810" spans="2:15" x14ac:dyDescent="0.25">
      <c r="B810" s="84"/>
      <c r="C810" s="84"/>
      <c r="D810" s="84"/>
      <c r="E810" s="84"/>
      <c r="F810" s="84"/>
      <c r="G810" s="84"/>
      <c r="H810" s="84"/>
      <c r="I810" s="84"/>
      <c r="J810" s="84"/>
      <c r="K810" s="84"/>
      <c r="L810" s="84"/>
      <c r="M810" s="53"/>
      <c r="N810" s="53"/>
      <c r="O810" s="84"/>
    </row>
    <row r="811" spans="2:15" x14ac:dyDescent="0.25">
      <c r="B811" s="84"/>
      <c r="C811" s="84"/>
      <c r="D811" s="84"/>
      <c r="E811" s="84"/>
      <c r="F811" s="84"/>
      <c r="G811" s="84"/>
      <c r="H811" s="84"/>
      <c r="I811" s="84"/>
      <c r="J811" s="84"/>
      <c r="K811" s="84"/>
      <c r="L811" s="84"/>
      <c r="M811" s="53"/>
      <c r="N811" s="53"/>
      <c r="O811" s="84"/>
    </row>
    <row r="812" spans="2:15" x14ac:dyDescent="0.25">
      <c r="B812" s="84"/>
      <c r="C812" s="84"/>
      <c r="D812" s="84"/>
      <c r="E812" s="84"/>
      <c r="F812" s="84"/>
      <c r="G812" s="84"/>
      <c r="H812" s="84"/>
      <c r="I812" s="84"/>
      <c r="J812" s="84"/>
      <c r="K812" s="84"/>
      <c r="L812" s="84"/>
      <c r="M812" s="53"/>
      <c r="N812" s="53"/>
      <c r="O812" s="84"/>
    </row>
    <row r="813" spans="2:15" x14ac:dyDescent="0.25">
      <c r="B813" s="84"/>
      <c r="C813" s="84"/>
      <c r="D813" s="84"/>
      <c r="E813" s="84"/>
      <c r="F813" s="84"/>
      <c r="G813" s="84"/>
      <c r="H813" s="84"/>
      <c r="I813" s="84"/>
      <c r="J813" s="84"/>
      <c r="K813" s="84"/>
      <c r="L813" s="84"/>
      <c r="M813" s="53"/>
      <c r="N813" s="53"/>
      <c r="O813" s="84"/>
    </row>
    <row r="814" spans="2:15" x14ac:dyDescent="0.25">
      <c r="B814" s="84"/>
      <c r="C814" s="84"/>
      <c r="D814" s="84"/>
      <c r="E814" s="84"/>
      <c r="F814" s="84"/>
      <c r="G814" s="84"/>
      <c r="H814" s="84"/>
      <c r="I814" s="84"/>
      <c r="J814" s="84"/>
      <c r="K814" s="84"/>
      <c r="L814" s="84"/>
      <c r="M814" s="53"/>
      <c r="N814" s="53"/>
      <c r="O814" s="84"/>
    </row>
    <row r="815" spans="2:15" x14ac:dyDescent="0.25">
      <c r="B815" s="84"/>
      <c r="C815" s="84"/>
      <c r="D815" s="84"/>
      <c r="E815" s="84"/>
      <c r="F815" s="84"/>
      <c r="G815" s="84"/>
      <c r="H815" s="84"/>
      <c r="I815" s="84"/>
      <c r="J815" s="84"/>
      <c r="K815" s="84"/>
      <c r="L815" s="84"/>
      <c r="M815" s="53"/>
      <c r="N815" s="53"/>
      <c r="O815" s="84"/>
    </row>
    <row r="816" spans="2:15" x14ac:dyDescent="0.25">
      <c r="B816" s="84"/>
      <c r="C816" s="84"/>
      <c r="D816" s="84"/>
      <c r="E816" s="84"/>
      <c r="F816" s="84"/>
      <c r="G816" s="84"/>
      <c r="H816" s="84"/>
      <c r="I816" s="84"/>
      <c r="J816" s="84"/>
      <c r="K816" s="84"/>
      <c r="L816" s="84"/>
      <c r="M816" s="53"/>
      <c r="N816" s="53"/>
      <c r="O816" s="84"/>
    </row>
    <row r="817" spans="2:15" x14ac:dyDescent="0.25">
      <c r="B817" s="84"/>
      <c r="C817" s="84"/>
      <c r="D817" s="84"/>
      <c r="E817" s="84"/>
      <c r="F817" s="84"/>
      <c r="G817" s="84"/>
      <c r="H817" s="84"/>
      <c r="I817" s="84"/>
      <c r="J817" s="84"/>
      <c r="K817" s="84"/>
      <c r="L817" s="84"/>
      <c r="M817" s="53"/>
      <c r="N817" s="53"/>
      <c r="O817" s="84"/>
    </row>
    <row r="818" spans="2:15" x14ac:dyDescent="0.25">
      <c r="B818" s="84"/>
      <c r="C818" s="84"/>
      <c r="D818" s="84"/>
      <c r="E818" s="84"/>
      <c r="F818" s="84"/>
      <c r="G818" s="84"/>
      <c r="H818" s="84"/>
      <c r="I818" s="84"/>
      <c r="J818" s="84"/>
      <c r="K818" s="84"/>
      <c r="L818" s="84"/>
      <c r="M818" s="53"/>
      <c r="N818" s="53"/>
      <c r="O818" s="84"/>
    </row>
    <row r="819" spans="2:15" x14ac:dyDescent="0.25">
      <c r="B819" s="84"/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53"/>
      <c r="N819" s="53"/>
      <c r="O819" s="84"/>
    </row>
    <row r="820" spans="2:15" x14ac:dyDescent="0.25">
      <c r="B820" s="84"/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53"/>
      <c r="N820" s="53"/>
      <c r="O820" s="84"/>
    </row>
    <row r="821" spans="2:15" x14ac:dyDescent="0.25">
      <c r="B821" s="84"/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53"/>
      <c r="N821" s="53"/>
      <c r="O821" s="84"/>
    </row>
    <row r="822" spans="2:15" x14ac:dyDescent="0.25">
      <c r="B822" s="84"/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53"/>
      <c r="N822" s="53"/>
      <c r="O822" s="84"/>
    </row>
    <row r="823" spans="2:15" x14ac:dyDescent="0.25">
      <c r="B823" s="84"/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53"/>
      <c r="N823" s="53"/>
      <c r="O823" s="84"/>
    </row>
    <row r="824" spans="2:15" x14ac:dyDescent="0.25">
      <c r="B824" s="84"/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53"/>
      <c r="N824" s="53"/>
      <c r="O824" s="84"/>
    </row>
    <row r="825" spans="2:15" x14ac:dyDescent="0.25">
      <c r="B825" s="84"/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53"/>
      <c r="N825" s="53"/>
      <c r="O825" s="84"/>
    </row>
    <row r="826" spans="2:15" x14ac:dyDescent="0.25">
      <c r="B826" s="84"/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53"/>
      <c r="N826" s="53"/>
      <c r="O826" s="84"/>
    </row>
    <row r="827" spans="2:15" x14ac:dyDescent="0.25">
      <c r="B827" s="84"/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53"/>
      <c r="N827" s="53"/>
      <c r="O827" s="84"/>
    </row>
    <row r="828" spans="2:15" x14ac:dyDescent="0.25">
      <c r="B828" s="84"/>
      <c r="C828" s="84"/>
      <c r="D828" s="84"/>
      <c r="E828" s="84"/>
      <c r="F828" s="84"/>
      <c r="G828" s="84"/>
      <c r="H828" s="84"/>
      <c r="I828" s="84"/>
      <c r="J828" s="84"/>
      <c r="K828" s="84"/>
      <c r="L828" s="84"/>
      <c r="M828" s="53"/>
      <c r="N828" s="53"/>
      <c r="O828" s="84"/>
    </row>
    <row r="829" spans="2:15" x14ac:dyDescent="0.25">
      <c r="B829" s="84"/>
      <c r="C829" s="84"/>
      <c r="D829" s="84"/>
      <c r="E829" s="84"/>
      <c r="F829" s="84"/>
      <c r="G829" s="84"/>
      <c r="H829" s="84"/>
      <c r="I829" s="84"/>
      <c r="J829" s="84"/>
      <c r="K829" s="84"/>
      <c r="L829" s="84"/>
      <c r="M829" s="53"/>
      <c r="N829" s="53"/>
      <c r="O829" s="84"/>
    </row>
    <row r="830" spans="2:15" x14ac:dyDescent="0.25">
      <c r="B830" s="84"/>
      <c r="C830" s="84"/>
      <c r="D830" s="84"/>
      <c r="E830" s="84"/>
      <c r="F830" s="84"/>
      <c r="G830" s="84"/>
      <c r="H830" s="84"/>
      <c r="I830" s="84"/>
      <c r="J830" s="84"/>
      <c r="K830" s="84"/>
      <c r="L830" s="84"/>
      <c r="M830" s="53"/>
      <c r="N830" s="53"/>
      <c r="O830" s="84"/>
    </row>
    <row r="831" spans="2:15" x14ac:dyDescent="0.25">
      <c r="B831" s="84"/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53"/>
      <c r="N831" s="53"/>
      <c r="O831" s="84"/>
    </row>
    <row r="832" spans="2:15" x14ac:dyDescent="0.25">
      <c r="B832" s="84"/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53"/>
      <c r="N832" s="53"/>
      <c r="O832" s="84"/>
    </row>
    <row r="833" spans="2:15" x14ac:dyDescent="0.25">
      <c r="B833" s="84"/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53"/>
      <c r="N833" s="53"/>
      <c r="O833" s="84"/>
    </row>
    <row r="834" spans="2:15" x14ac:dyDescent="0.25">
      <c r="B834" s="84"/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53"/>
      <c r="N834" s="53"/>
      <c r="O834" s="84"/>
    </row>
    <row r="835" spans="2:15" x14ac:dyDescent="0.25">
      <c r="B835" s="84"/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53"/>
      <c r="N835" s="53"/>
      <c r="O835" s="84"/>
    </row>
    <row r="836" spans="2:15" x14ac:dyDescent="0.25">
      <c r="B836" s="84"/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53"/>
      <c r="N836" s="53"/>
      <c r="O836" s="84"/>
    </row>
    <row r="837" spans="2:15" x14ac:dyDescent="0.25">
      <c r="B837" s="84"/>
      <c r="C837" s="84"/>
      <c r="D837" s="84"/>
      <c r="E837" s="84"/>
      <c r="F837" s="84"/>
      <c r="G837" s="84"/>
      <c r="H837" s="84"/>
      <c r="I837" s="84"/>
      <c r="J837" s="84"/>
      <c r="K837" s="84"/>
      <c r="L837" s="84"/>
      <c r="M837" s="53"/>
      <c r="N837" s="53"/>
      <c r="O837" s="84"/>
    </row>
    <row r="838" spans="2:15" x14ac:dyDescent="0.25">
      <c r="B838" s="84"/>
      <c r="C838" s="84"/>
      <c r="D838" s="84"/>
      <c r="E838" s="84"/>
      <c r="F838" s="84"/>
      <c r="G838" s="84"/>
      <c r="H838" s="84"/>
      <c r="I838" s="84"/>
      <c r="J838" s="84"/>
      <c r="K838" s="84"/>
      <c r="L838" s="84"/>
      <c r="M838" s="53"/>
      <c r="N838" s="53"/>
      <c r="O838" s="84"/>
    </row>
    <row r="839" spans="2:15" x14ac:dyDescent="0.25">
      <c r="B839" s="84"/>
      <c r="C839" s="84"/>
      <c r="D839" s="84"/>
      <c r="E839" s="84"/>
      <c r="F839" s="84"/>
      <c r="G839" s="84"/>
      <c r="H839" s="84"/>
      <c r="I839" s="84"/>
      <c r="J839" s="84"/>
      <c r="K839" s="84"/>
      <c r="L839" s="84"/>
      <c r="M839" s="53"/>
      <c r="N839" s="53"/>
      <c r="O839" s="84"/>
    </row>
    <row r="840" spans="2:15" x14ac:dyDescent="0.25">
      <c r="B840" s="84"/>
      <c r="C840" s="84"/>
      <c r="D840" s="84"/>
      <c r="E840" s="84"/>
      <c r="F840" s="84"/>
      <c r="G840" s="84"/>
      <c r="H840" s="84"/>
      <c r="I840" s="84"/>
      <c r="J840" s="84"/>
      <c r="K840" s="84"/>
      <c r="L840" s="84"/>
      <c r="M840" s="53"/>
      <c r="N840" s="53"/>
      <c r="O840" s="84"/>
    </row>
    <row r="841" spans="2:15" x14ac:dyDescent="0.25">
      <c r="B841" s="84"/>
      <c r="C841" s="84"/>
      <c r="D841" s="84"/>
      <c r="E841" s="84"/>
      <c r="F841" s="84"/>
      <c r="G841" s="84"/>
      <c r="H841" s="84"/>
      <c r="I841" s="84"/>
      <c r="J841" s="84"/>
      <c r="K841" s="84"/>
      <c r="L841" s="84"/>
      <c r="M841" s="53"/>
      <c r="N841" s="53"/>
      <c r="O841" s="84"/>
    </row>
    <row r="842" spans="2:15" x14ac:dyDescent="0.25">
      <c r="B842" s="84"/>
      <c r="C842" s="84"/>
      <c r="D842" s="84"/>
      <c r="E842" s="84"/>
      <c r="F842" s="84"/>
      <c r="G842" s="84"/>
      <c r="H842" s="84"/>
      <c r="I842" s="84"/>
      <c r="J842" s="84"/>
      <c r="K842" s="84"/>
      <c r="L842" s="84"/>
      <c r="M842" s="53"/>
      <c r="N842" s="53"/>
      <c r="O842" s="84"/>
    </row>
    <row r="843" spans="2:15" x14ac:dyDescent="0.25">
      <c r="B843" s="84"/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53"/>
      <c r="N843" s="53"/>
      <c r="O843" s="84"/>
    </row>
    <row r="844" spans="2:15" x14ac:dyDescent="0.25">
      <c r="B844" s="84"/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53"/>
      <c r="N844" s="53"/>
      <c r="O844" s="84"/>
    </row>
    <row r="845" spans="2:15" x14ac:dyDescent="0.25">
      <c r="B845" s="84"/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53"/>
      <c r="N845" s="53"/>
      <c r="O845" s="84"/>
    </row>
    <row r="846" spans="2:15" x14ac:dyDescent="0.25">
      <c r="B846" s="84"/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53"/>
      <c r="N846" s="53"/>
      <c r="O846" s="84"/>
    </row>
    <row r="847" spans="2:15" x14ac:dyDescent="0.25">
      <c r="B847" s="84"/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53"/>
      <c r="N847" s="53"/>
      <c r="O847" s="84"/>
    </row>
    <row r="848" spans="2:15" x14ac:dyDescent="0.25">
      <c r="B848" s="84"/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53"/>
      <c r="N848" s="53"/>
      <c r="O848" s="84"/>
    </row>
    <row r="849" spans="2:15" x14ac:dyDescent="0.25">
      <c r="B849" s="84"/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53"/>
      <c r="N849" s="53"/>
      <c r="O849" s="84"/>
    </row>
    <row r="850" spans="2:15" x14ac:dyDescent="0.25">
      <c r="B850" s="84"/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53"/>
      <c r="N850" s="53"/>
      <c r="O850" s="84"/>
    </row>
    <row r="851" spans="2:15" x14ac:dyDescent="0.25">
      <c r="B851" s="84"/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53"/>
      <c r="N851" s="53"/>
      <c r="O851" s="84"/>
    </row>
    <row r="852" spans="2:15" x14ac:dyDescent="0.25">
      <c r="B852" s="84"/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53"/>
      <c r="N852" s="53"/>
      <c r="O852" s="84"/>
    </row>
    <row r="853" spans="2:15" x14ac:dyDescent="0.25">
      <c r="B853" s="84"/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53"/>
      <c r="N853" s="53"/>
      <c r="O853" s="84"/>
    </row>
    <row r="854" spans="2:15" x14ac:dyDescent="0.25">
      <c r="B854" s="84"/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53"/>
      <c r="N854" s="53"/>
      <c r="O854" s="84"/>
    </row>
    <row r="855" spans="2:15" x14ac:dyDescent="0.25">
      <c r="B855" s="84"/>
      <c r="C855" s="84"/>
      <c r="D855" s="84"/>
      <c r="E855" s="84"/>
      <c r="F855" s="84"/>
      <c r="G855" s="84"/>
      <c r="H855" s="84"/>
      <c r="I855" s="84"/>
      <c r="J855" s="84"/>
      <c r="K855" s="84"/>
      <c r="L855" s="84"/>
      <c r="M855" s="53"/>
      <c r="N855" s="53"/>
      <c r="O855" s="84"/>
    </row>
    <row r="856" spans="2:15" x14ac:dyDescent="0.25">
      <c r="B856" s="84"/>
      <c r="C856" s="84"/>
      <c r="D856" s="84"/>
      <c r="E856" s="84"/>
      <c r="F856" s="84"/>
      <c r="G856" s="84"/>
      <c r="H856" s="84"/>
      <c r="I856" s="84"/>
      <c r="J856" s="84"/>
      <c r="K856" s="84"/>
      <c r="L856" s="84"/>
      <c r="M856" s="53"/>
      <c r="N856" s="53"/>
      <c r="O856" s="84"/>
    </row>
    <row r="857" spans="2:15" x14ac:dyDescent="0.25">
      <c r="B857" s="84"/>
      <c r="C857" s="84"/>
      <c r="D857" s="84"/>
      <c r="E857" s="84"/>
      <c r="F857" s="84"/>
      <c r="G857" s="84"/>
      <c r="H857" s="84"/>
      <c r="I857" s="84"/>
      <c r="J857" s="84"/>
      <c r="K857" s="84"/>
      <c r="L857" s="84"/>
      <c r="M857" s="53"/>
      <c r="N857" s="53"/>
      <c r="O857" s="84"/>
    </row>
    <row r="858" spans="2:15" x14ac:dyDescent="0.25">
      <c r="B858" s="84"/>
      <c r="C858" s="84"/>
      <c r="D858" s="84"/>
      <c r="E858" s="84"/>
      <c r="F858" s="84"/>
      <c r="G858" s="84"/>
      <c r="H858" s="84"/>
      <c r="I858" s="84"/>
      <c r="J858" s="84"/>
      <c r="K858" s="84"/>
      <c r="L858" s="84"/>
      <c r="M858" s="53"/>
      <c r="N858" s="53"/>
      <c r="O858" s="84"/>
    </row>
    <row r="859" spans="2:15" x14ac:dyDescent="0.25">
      <c r="B859" s="84"/>
      <c r="C859" s="84"/>
      <c r="D859" s="84"/>
      <c r="E859" s="84"/>
      <c r="F859" s="84"/>
      <c r="G859" s="84"/>
      <c r="H859" s="84"/>
      <c r="I859" s="84"/>
      <c r="J859" s="84"/>
      <c r="K859" s="84"/>
      <c r="L859" s="84"/>
      <c r="M859" s="53"/>
      <c r="N859" s="53"/>
      <c r="O859" s="84"/>
    </row>
    <row r="860" spans="2:15" x14ac:dyDescent="0.25">
      <c r="B860" s="84"/>
      <c r="C860" s="84"/>
      <c r="D860" s="84"/>
      <c r="E860" s="84"/>
      <c r="F860" s="84"/>
      <c r="G860" s="84"/>
      <c r="H860" s="84"/>
      <c r="I860" s="84"/>
      <c r="J860" s="84"/>
      <c r="K860" s="84"/>
      <c r="L860" s="84"/>
      <c r="M860" s="53"/>
      <c r="N860" s="53"/>
      <c r="O860" s="84"/>
    </row>
    <row r="861" spans="2:15" x14ac:dyDescent="0.25">
      <c r="B861" s="84"/>
      <c r="C861" s="84"/>
      <c r="D861" s="84"/>
      <c r="E861" s="84"/>
      <c r="F861" s="84"/>
      <c r="G861" s="84"/>
      <c r="H861" s="84"/>
      <c r="I861" s="84"/>
      <c r="J861" s="84"/>
      <c r="K861" s="84"/>
      <c r="L861" s="84"/>
      <c r="M861" s="53"/>
      <c r="N861" s="53"/>
      <c r="O861" s="84"/>
    </row>
    <row r="862" spans="2:15" x14ac:dyDescent="0.25">
      <c r="B862" s="84"/>
      <c r="C862" s="84"/>
      <c r="D862" s="84"/>
      <c r="E862" s="84"/>
      <c r="F862" s="84"/>
      <c r="G862" s="84"/>
      <c r="H862" s="84"/>
      <c r="I862" s="84"/>
      <c r="J862" s="84"/>
      <c r="K862" s="84"/>
      <c r="L862" s="84"/>
      <c r="M862" s="53"/>
      <c r="N862" s="53"/>
      <c r="O862" s="84"/>
    </row>
    <row r="863" spans="2:15" x14ac:dyDescent="0.25">
      <c r="B863" s="84"/>
      <c r="C863" s="84"/>
      <c r="D863" s="84"/>
      <c r="E863" s="84"/>
      <c r="F863" s="84"/>
      <c r="G863" s="84"/>
      <c r="H863" s="84"/>
      <c r="I863" s="84"/>
      <c r="J863" s="84"/>
      <c r="K863" s="84"/>
      <c r="L863" s="84"/>
      <c r="M863" s="53"/>
      <c r="N863" s="53"/>
      <c r="O863" s="84"/>
    </row>
    <row r="864" spans="2:15" x14ac:dyDescent="0.25">
      <c r="B864" s="84"/>
      <c r="C864" s="84"/>
      <c r="D864" s="84"/>
      <c r="E864" s="84"/>
      <c r="F864" s="84"/>
      <c r="G864" s="84"/>
      <c r="H864" s="84"/>
      <c r="I864" s="84"/>
      <c r="J864" s="84"/>
      <c r="K864" s="84"/>
      <c r="L864" s="84"/>
      <c r="M864" s="53"/>
      <c r="N864" s="53"/>
      <c r="O864" s="84"/>
    </row>
    <row r="865" spans="2:15" x14ac:dyDescent="0.25">
      <c r="B865" s="84"/>
      <c r="C865" s="84"/>
      <c r="D865" s="84"/>
      <c r="E865" s="84"/>
      <c r="F865" s="84"/>
      <c r="G865" s="84"/>
      <c r="H865" s="84"/>
      <c r="I865" s="84"/>
      <c r="J865" s="84"/>
      <c r="K865" s="84"/>
      <c r="L865" s="84"/>
      <c r="M865" s="53"/>
      <c r="N865" s="53"/>
      <c r="O865" s="84"/>
    </row>
    <row r="866" spans="2:15" x14ac:dyDescent="0.25">
      <c r="B866" s="84"/>
      <c r="C866" s="84"/>
      <c r="D866" s="84"/>
      <c r="E866" s="84"/>
      <c r="F866" s="84"/>
      <c r="G866" s="84"/>
      <c r="H866" s="84"/>
      <c r="I866" s="84"/>
      <c r="J866" s="84"/>
      <c r="K866" s="84"/>
      <c r="L866" s="84"/>
      <c r="M866" s="53"/>
      <c r="N866" s="53"/>
      <c r="O866" s="84"/>
    </row>
    <row r="867" spans="2:15" x14ac:dyDescent="0.25">
      <c r="B867" s="84"/>
      <c r="C867" s="84"/>
      <c r="D867" s="84"/>
      <c r="E867" s="84"/>
      <c r="F867" s="84"/>
      <c r="G867" s="84"/>
      <c r="H867" s="84"/>
      <c r="I867" s="84"/>
      <c r="J867" s="84"/>
      <c r="K867" s="84"/>
      <c r="L867" s="84"/>
      <c r="M867" s="53"/>
      <c r="N867" s="53"/>
      <c r="O867" s="84"/>
    </row>
    <row r="868" spans="2:15" x14ac:dyDescent="0.25">
      <c r="B868" s="84"/>
      <c r="C868" s="84"/>
      <c r="D868" s="84"/>
      <c r="E868" s="84"/>
      <c r="F868" s="84"/>
      <c r="G868" s="84"/>
      <c r="H868" s="84"/>
      <c r="I868" s="84"/>
      <c r="J868" s="84"/>
      <c r="K868" s="84"/>
      <c r="L868" s="84"/>
      <c r="M868" s="53"/>
      <c r="N868" s="53"/>
      <c r="O868" s="84"/>
    </row>
    <row r="869" spans="2:15" x14ac:dyDescent="0.25">
      <c r="B869" s="84"/>
      <c r="C869" s="84"/>
      <c r="D869" s="84"/>
      <c r="E869" s="84"/>
      <c r="F869" s="84"/>
      <c r="G869" s="84"/>
      <c r="H869" s="84"/>
      <c r="I869" s="84"/>
      <c r="J869" s="84"/>
      <c r="K869" s="84"/>
      <c r="L869" s="84"/>
      <c r="M869" s="53"/>
      <c r="N869" s="53"/>
      <c r="O869" s="84"/>
    </row>
    <row r="870" spans="2:15" x14ac:dyDescent="0.25">
      <c r="B870" s="84"/>
      <c r="C870" s="84"/>
      <c r="D870" s="84"/>
      <c r="E870" s="84"/>
      <c r="F870" s="84"/>
      <c r="G870" s="84"/>
      <c r="H870" s="84"/>
      <c r="I870" s="84"/>
      <c r="J870" s="84"/>
      <c r="K870" s="84"/>
      <c r="L870" s="84"/>
      <c r="M870" s="53"/>
      <c r="N870" s="53"/>
      <c r="O870" s="84"/>
    </row>
    <row r="871" spans="2:15" x14ac:dyDescent="0.25">
      <c r="B871" s="84"/>
      <c r="C871" s="84"/>
      <c r="D871" s="84"/>
      <c r="E871" s="84"/>
      <c r="F871" s="84"/>
      <c r="G871" s="84"/>
      <c r="H871" s="84"/>
      <c r="I871" s="84"/>
      <c r="J871" s="84"/>
      <c r="K871" s="84"/>
      <c r="L871" s="84"/>
      <c r="M871" s="53"/>
      <c r="N871" s="53"/>
      <c r="O871" s="84"/>
    </row>
    <row r="872" spans="2:15" x14ac:dyDescent="0.25">
      <c r="B872" s="84"/>
      <c r="C872" s="84"/>
      <c r="D872" s="84"/>
      <c r="E872" s="84"/>
      <c r="F872" s="84"/>
      <c r="G872" s="84"/>
      <c r="H872" s="84"/>
      <c r="I872" s="84"/>
      <c r="J872" s="84"/>
      <c r="K872" s="84"/>
      <c r="L872" s="84"/>
      <c r="M872" s="53"/>
      <c r="N872" s="53"/>
      <c r="O872" s="84"/>
    </row>
    <row r="873" spans="2:15" x14ac:dyDescent="0.25">
      <c r="B873" s="84"/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53"/>
      <c r="N873" s="53"/>
      <c r="O873" s="84"/>
    </row>
    <row r="874" spans="2:15" x14ac:dyDescent="0.25">
      <c r="B874" s="84"/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53"/>
      <c r="N874" s="53"/>
      <c r="O874" s="84"/>
    </row>
    <row r="875" spans="2:15" x14ac:dyDescent="0.25">
      <c r="B875" s="84"/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53"/>
      <c r="N875" s="53"/>
      <c r="O875" s="84"/>
    </row>
    <row r="876" spans="2:15" x14ac:dyDescent="0.25">
      <c r="B876" s="84"/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53"/>
      <c r="N876" s="53"/>
      <c r="O876" s="84"/>
    </row>
    <row r="877" spans="2:15" x14ac:dyDescent="0.25">
      <c r="B877" s="84"/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53"/>
      <c r="N877" s="53"/>
      <c r="O877" s="84"/>
    </row>
    <row r="878" spans="2:15" x14ac:dyDescent="0.25">
      <c r="B878" s="84"/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53"/>
      <c r="N878" s="53"/>
      <c r="O878" s="84"/>
    </row>
    <row r="879" spans="2:15" x14ac:dyDescent="0.25">
      <c r="B879" s="84"/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53"/>
      <c r="N879" s="53"/>
      <c r="O879" s="84"/>
    </row>
    <row r="880" spans="2:15" x14ac:dyDescent="0.25">
      <c r="B880" s="84"/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53"/>
      <c r="N880" s="53"/>
      <c r="O880" s="84"/>
    </row>
    <row r="881" spans="2:15" x14ac:dyDescent="0.25">
      <c r="B881" s="84"/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53"/>
      <c r="N881" s="53"/>
      <c r="O881" s="84"/>
    </row>
    <row r="882" spans="2:15" x14ac:dyDescent="0.25">
      <c r="B882" s="84"/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53"/>
      <c r="N882" s="53"/>
      <c r="O882" s="84"/>
    </row>
    <row r="883" spans="2:15" x14ac:dyDescent="0.25">
      <c r="B883" s="84"/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53"/>
      <c r="N883" s="53"/>
      <c r="O883" s="84"/>
    </row>
    <row r="884" spans="2:15" x14ac:dyDescent="0.25">
      <c r="B884" s="84"/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53"/>
      <c r="N884" s="53"/>
      <c r="O884" s="84"/>
    </row>
    <row r="885" spans="2:15" x14ac:dyDescent="0.25">
      <c r="B885" s="84"/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53"/>
      <c r="N885" s="53"/>
      <c r="O885" s="84"/>
    </row>
    <row r="886" spans="2:15" x14ac:dyDescent="0.25">
      <c r="B886" s="84"/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53"/>
      <c r="N886" s="53"/>
      <c r="O886" s="84"/>
    </row>
    <row r="887" spans="2:15" x14ac:dyDescent="0.25">
      <c r="B887" s="84"/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53"/>
      <c r="N887" s="53"/>
      <c r="O887" s="84"/>
    </row>
    <row r="888" spans="2:15" x14ac:dyDescent="0.25">
      <c r="B888" s="84"/>
      <c r="C888" s="84"/>
      <c r="D888" s="84"/>
      <c r="E888" s="84"/>
      <c r="F888" s="84"/>
      <c r="G888" s="84"/>
      <c r="H888" s="84"/>
      <c r="I888" s="84"/>
      <c r="J888" s="84"/>
      <c r="K888" s="84"/>
      <c r="L888" s="84"/>
      <c r="M888" s="53"/>
      <c r="N888" s="53"/>
      <c r="O888" s="84"/>
    </row>
    <row r="889" spans="2:15" x14ac:dyDescent="0.25">
      <c r="B889" s="84"/>
      <c r="C889" s="84"/>
      <c r="D889" s="84"/>
      <c r="E889" s="84"/>
      <c r="F889" s="84"/>
      <c r="G889" s="84"/>
      <c r="H889" s="84"/>
      <c r="I889" s="84"/>
      <c r="J889" s="84"/>
      <c r="K889" s="84"/>
      <c r="L889" s="84"/>
      <c r="M889" s="53"/>
      <c r="N889" s="53"/>
      <c r="O889" s="84"/>
    </row>
    <row r="890" spans="2:15" x14ac:dyDescent="0.25">
      <c r="B890" s="84"/>
      <c r="C890" s="84"/>
      <c r="D890" s="84"/>
      <c r="E890" s="84"/>
      <c r="F890" s="84"/>
      <c r="G890" s="84"/>
      <c r="H890" s="84"/>
      <c r="I890" s="84"/>
      <c r="J890" s="84"/>
      <c r="K890" s="84"/>
      <c r="L890" s="84"/>
      <c r="M890" s="53"/>
      <c r="N890" s="53"/>
      <c r="O890" s="84"/>
    </row>
    <row r="891" spans="2:15" x14ac:dyDescent="0.25">
      <c r="B891" s="84"/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53"/>
      <c r="N891" s="53"/>
      <c r="O891" s="84"/>
    </row>
    <row r="892" spans="2:15" x14ac:dyDescent="0.25">
      <c r="B892" s="84"/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53"/>
      <c r="N892" s="53"/>
      <c r="O892" s="84"/>
    </row>
    <row r="893" spans="2:15" x14ac:dyDescent="0.25">
      <c r="B893" s="84"/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53"/>
      <c r="N893" s="53"/>
      <c r="O893" s="84"/>
    </row>
    <row r="894" spans="2:15" x14ac:dyDescent="0.25">
      <c r="B894" s="84"/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53"/>
      <c r="N894" s="53"/>
      <c r="O894" s="84"/>
    </row>
    <row r="895" spans="2:15" x14ac:dyDescent="0.25">
      <c r="B895" s="84"/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53"/>
      <c r="N895" s="53"/>
      <c r="O895" s="84"/>
    </row>
    <row r="896" spans="2:15" x14ac:dyDescent="0.25">
      <c r="B896" s="84"/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53"/>
      <c r="N896" s="53"/>
      <c r="O896" s="84"/>
    </row>
    <row r="897" spans="2:15" x14ac:dyDescent="0.25">
      <c r="B897" s="84"/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53"/>
      <c r="N897" s="53"/>
      <c r="O897" s="84"/>
    </row>
    <row r="898" spans="2:15" x14ac:dyDescent="0.25">
      <c r="B898" s="84"/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53"/>
      <c r="N898" s="53"/>
      <c r="O898" s="84"/>
    </row>
    <row r="899" spans="2:15" x14ac:dyDescent="0.25">
      <c r="B899" s="84"/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53"/>
      <c r="N899" s="53"/>
      <c r="O899" s="84"/>
    </row>
    <row r="900" spans="2:15" x14ac:dyDescent="0.25">
      <c r="B900" s="84"/>
      <c r="C900" s="84"/>
      <c r="D900" s="84"/>
      <c r="E900" s="84"/>
      <c r="F900" s="84"/>
      <c r="G900" s="84"/>
      <c r="H900" s="84"/>
      <c r="I900" s="84"/>
      <c r="J900" s="84"/>
      <c r="K900" s="84"/>
      <c r="L900" s="84"/>
      <c r="M900" s="53"/>
      <c r="N900" s="53"/>
      <c r="O900" s="84"/>
    </row>
    <row r="901" spans="2:15" x14ac:dyDescent="0.25">
      <c r="B901" s="84"/>
      <c r="C901" s="84"/>
      <c r="D901" s="84"/>
      <c r="E901" s="84"/>
      <c r="F901" s="84"/>
      <c r="G901" s="84"/>
      <c r="H901" s="84"/>
      <c r="I901" s="84"/>
      <c r="J901" s="84"/>
      <c r="K901" s="84"/>
      <c r="L901" s="84"/>
      <c r="M901" s="53"/>
      <c r="N901" s="53"/>
      <c r="O901" s="84"/>
    </row>
    <row r="902" spans="2:15" x14ac:dyDescent="0.25">
      <c r="B902" s="84"/>
      <c r="C902" s="84"/>
      <c r="D902" s="84"/>
      <c r="E902" s="84"/>
      <c r="F902" s="84"/>
      <c r="G902" s="84"/>
      <c r="H902" s="84"/>
      <c r="I902" s="84"/>
      <c r="J902" s="84"/>
      <c r="K902" s="84"/>
      <c r="L902" s="84"/>
      <c r="M902" s="53"/>
      <c r="N902" s="53"/>
      <c r="O902" s="84"/>
    </row>
    <row r="903" spans="2:15" x14ac:dyDescent="0.25">
      <c r="B903" s="84"/>
      <c r="C903" s="84"/>
      <c r="D903" s="84"/>
      <c r="E903" s="84"/>
      <c r="F903" s="84"/>
      <c r="G903" s="84"/>
      <c r="H903" s="84"/>
      <c r="I903" s="84"/>
      <c r="J903" s="84"/>
      <c r="K903" s="84"/>
      <c r="L903" s="84"/>
      <c r="M903" s="53"/>
      <c r="N903" s="53"/>
      <c r="O903" s="84"/>
    </row>
    <row r="904" spans="2:15" x14ac:dyDescent="0.25">
      <c r="B904" s="84"/>
      <c r="C904" s="84"/>
      <c r="D904" s="84"/>
      <c r="E904" s="84"/>
      <c r="F904" s="84"/>
      <c r="G904" s="84"/>
      <c r="H904" s="84"/>
      <c r="I904" s="84"/>
      <c r="J904" s="84"/>
      <c r="K904" s="84"/>
      <c r="L904" s="84"/>
      <c r="M904" s="53"/>
      <c r="N904" s="53"/>
      <c r="O904" s="84"/>
    </row>
    <row r="905" spans="2:15" x14ac:dyDescent="0.25">
      <c r="B905" s="84"/>
      <c r="C905" s="84"/>
      <c r="D905" s="84"/>
      <c r="E905" s="84"/>
      <c r="F905" s="84"/>
      <c r="G905" s="84"/>
      <c r="H905" s="84"/>
      <c r="I905" s="84"/>
      <c r="J905" s="84"/>
      <c r="K905" s="84"/>
      <c r="L905" s="84"/>
      <c r="M905" s="53"/>
      <c r="N905" s="53"/>
      <c r="O905" s="84"/>
    </row>
    <row r="906" spans="2:15" x14ac:dyDescent="0.25">
      <c r="B906" s="84"/>
      <c r="C906" s="84"/>
      <c r="D906" s="84"/>
      <c r="E906" s="84"/>
      <c r="F906" s="84"/>
      <c r="G906" s="84"/>
      <c r="H906" s="84"/>
      <c r="I906" s="84"/>
      <c r="J906" s="84"/>
      <c r="K906" s="84"/>
      <c r="L906" s="84"/>
      <c r="M906" s="53"/>
      <c r="N906" s="53"/>
      <c r="O906" s="84"/>
    </row>
    <row r="907" spans="2:15" x14ac:dyDescent="0.25">
      <c r="B907" s="84"/>
      <c r="C907" s="84"/>
      <c r="D907" s="84"/>
      <c r="E907" s="84"/>
      <c r="F907" s="84"/>
      <c r="G907" s="84"/>
      <c r="H907" s="84"/>
      <c r="I907" s="84"/>
      <c r="J907" s="84"/>
      <c r="K907" s="84"/>
      <c r="L907" s="84"/>
      <c r="M907" s="53"/>
      <c r="N907" s="53"/>
      <c r="O907" s="84"/>
    </row>
    <row r="908" spans="2:15" x14ac:dyDescent="0.25">
      <c r="B908" s="84"/>
      <c r="C908" s="84"/>
      <c r="D908" s="84"/>
      <c r="E908" s="84"/>
      <c r="F908" s="84"/>
      <c r="G908" s="84"/>
      <c r="H908" s="84"/>
      <c r="I908" s="84"/>
      <c r="J908" s="84"/>
      <c r="K908" s="84"/>
      <c r="L908" s="84"/>
      <c r="M908" s="53"/>
      <c r="N908" s="53"/>
      <c r="O908" s="84"/>
    </row>
    <row r="909" spans="2:15" x14ac:dyDescent="0.25">
      <c r="B909" s="84"/>
      <c r="C909" s="84"/>
      <c r="D909" s="84"/>
      <c r="E909" s="84"/>
      <c r="F909" s="84"/>
      <c r="G909" s="84"/>
      <c r="H909" s="84"/>
      <c r="I909" s="84"/>
      <c r="J909" s="84"/>
      <c r="K909" s="84"/>
      <c r="L909" s="84"/>
      <c r="M909" s="53"/>
      <c r="N909" s="53"/>
      <c r="O909" s="84"/>
    </row>
    <row r="910" spans="2:15" x14ac:dyDescent="0.25">
      <c r="B910" s="84"/>
      <c r="C910" s="84"/>
      <c r="D910" s="84"/>
      <c r="E910" s="84"/>
      <c r="F910" s="84"/>
      <c r="G910" s="84"/>
      <c r="H910" s="84"/>
      <c r="I910" s="84"/>
      <c r="J910" s="84"/>
      <c r="K910" s="84"/>
      <c r="L910" s="84"/>
      <c r="M910" s="53"/>
      <c r="N910" s="53"/>
      <c r="O910" s="84"/>
    </row>
    <row r="911" spans="2:15" x14ac:dyDescent="0.25">
      <c r="B911" s="84"/>
      <c r="C911" s="84"/>
      <c r="D911" s="84"/>
      <c r="E911" s="84"/>
      <c r="F911" s="84"/>
      <c r="G911" s="84"/>
      <c r="H911" s="84"/>
      <c r="I911" s="84"/>
      <c r="J911" s="84"/>
      <c r="K911" s="84"/>
      <c r="L911" s="84"/>
      <c r="M911" s="53"/>
      <c r="N911" s="53"/>
      <c r="O911" s="84"/>
    </row>
    <row r="912" spans="2:15" x14ac:dyDescent="0.25">
      <c r="B912" s="84"/>
      <c r="C912" s="84"/>
      <c r="D912" s="84"/>
      <c r="E912" s="84"/>
      <c r="F912" s="84"/>
      <c r="G912" s="84"/>
      <c r="H912" s="84"/>
      <c r="I912" s="84"/>
      <c r="J912" s="84"/>
      <c r="K912" s="84"/>
      <c r="L912" s="84"/>
      <c r="M912" s="53"/>
      <c r="N912" s="53"/>
      <c r="O912" s="84"/>
    </row>
    <row r="913" spans="2:15" x14ac:dyDescent="0.25">
      <c r="B913" s="84"/>
      <c r="C913" s="84"/>
      <c r="D913" s="84"/>
      <c r="E913" s="84"/>
      <c r="F913" s="84"/>
      <c r="G913" s="84"/>
      <c r="H913" s="84"/>
      <c r="I913" s="84"/>
      <c r="J913" s="84"/>
      <c r="K913" s="84"/>
      <c r="L913" s="84"/>
      <c r="M913" s="53"/>
      <c r="N913" s="53"/>
      <c r="O913" s="84"/>
    </row>
    <row r="914" spans="2:15" x14ac:dyDescent="0.25">
      <c r="B914" s="84"/>
      <c r="C914" s="84"/>
      <c r="D914" s="84"/>
      <c r="E914" s="84"/>
      <c r="F914" s="84"/>
      <c r="G914" s="84"/>
      <c r="H914" s="84"/>
      <c r="I914" s="84"/>
      <c r="J914" s="84"/>
      <c r="K914" s="84"/>
      <c r="L914" s="84"/>
      <c r="M914" s="53"/>
      <c r="N914" s="53"/>
      <c r="O914" s="84"/>
    </row>
    <row r="915" spans="2:15" x14ac:dyDescent="0.25">
      <c r="B915" s="84"/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53"/>
      <c r="N915" s="53"/>
      <c r="O915" s="84"/>
    </row>
    <row r="916" spans="2:15" x14ac:dyDescent="0.25">
      <c r="B916" s="84"/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53"/>
      <c r="N916" s="53"/>
      <c r="O916" s="84"/>
    </row>
    <row r="917" spans="2:15" x14ac:dyDescent="0.25">
      <c r="B917" s="84"/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53"/>
      <c r="N917" s="53"/>
      <c r="O917" s="84"/>
    </row>
    <row r="918" spans="2:15" x14ac:dyDescent="0.25">
      <c r="B918" s="84"/>
      <c r="C918" s="84"/>
      <c r="D918" s="84"/>
      <c r="E918" s="84"/>
      <c r="F918" s="84"/>
      <c r="G918" s="84"/>
      <c r="H918" s="84"/>
      <c r="I918" s="84"/>
      <c r="J918" s="84"/>
      <c r="K918" s="84"/>
      <c r="L918" s="84"/>
      <c r="M918" s="53"/>
      <c r="N918" s="53"/>
      <c r="O918" s="84"/>
    </row>
    <row r="919" spans="2:15" x14ac:dyDescent="0.25">
      <c r="B919" s="84"/>
      <c r="C919" s="84"/>
      <c r="D919" s="84"/>
      <c r="E919" s="84"/>
      <c r="F919" s="84"/>
      <c r="G919" s="84"/>
      <c r="H919" s="84"/>
      <c r="I919" s="84"/>
      <c r="J919" s="84"/>
      <c r="K919" s="84"/>
      <c r="L919" s="84"/>
      <c r="M919" s="53"/>
      <c r="N919" s="53"/>
      <c r="O919" s="84"/>
    </row>
    <row r="920" spans="2:15" x14ac:dyDescent="0.25">
      <c r="B920" s="84"/>
      <c r="C920" s="84"/>
      <c r="D920" s="84"/>
      <c r="E920" s="84"/>
      <c r="F920" s="84"/>
      <c r="G920" s="84"/>
      <c r="H920" s="84"/>
      <c r="I920" s="84"/>
      <c r="J920" s="84"/>
      <c r="K920" s="84"/>
      <c r="L920" s="84"/>
      <c r="M920" s="53"/>
      <c r="N920" s="53"/>
      <c r="O920" s="84"/>
    </row>
    <row r="921" spans="2:15" x14ac:dyDescent="0.25">
      <c r="B921" s="84"/>
      <c r="C921" s="84"/>
      <c r="D921" s="84"/>
      <c r="E921" s="84"/>
      <c r="F921" s="84"/>
      <c r="G921" s="84"/>
      <c r="H921" s="84"/>
      <c r="I921" s="84"/>
      <c r="J921" s="84"/>
      <c r="K921" s="84"/>
      <c r="L921" s="84"/>
      <c r="M921" s="53"/>
      <c r="N921" s="53"/>
      <c r="O921" s="84"/>
    </row>
    <row r="922" spans="2:15" x14ac:dyDescent="0.25">
      <c r="B922" s="84"/>
      <c r="C922" s="84"/>
      <c r="D922" s="84"/>
      <c r="E922" s="84"/>
      <c r="F922" s="84"/>
      <c r="G922" s="84"/>
      <c r="H922" s="84"/>
      <c r="I922" s="84"/>
      <c r="J922" s="84"/>
      <c r="K922" s="84"/>
      <c r="L922" s="84"/>
      <c r="M922" s="53"/>
      <c r="N922" s="53"/>
      <c r="O922" s="84"/>
    </row>
    <row r="923" spans="2:15" x14ac:dyDescent="0.25">
      <c r="B923" s="84"/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53"/>
      <c r="N923" s="53"/>
      <c r="O923" s="84"/>
    </row>
    <row r="924" spans="2:15" x14ac:dyDescent="0.25">
      <c r="B924" s="84"/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53"/>
      <c r="N924" s="53"/>
      <c r="O924" s="84"/>
    </row>
    <row r="925" spans="2:15" x14ac:dyDescent="0.25">
      <c r="B925" s="84"/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53"/>
      <c r="N925" s="53"/>
      <c r="O925" s="84"/>
    </row>
    <row r="926" spans="2:15" x14ac:dyDescent="0.25">
      <c r="B926" s="84"/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53"/>
      <c r="N926" s="53"/>
      <c r="O926" s="84"/>
    </row>
    <row r="927" spans="2:15" x14ac:dyDescent="0.25">
      <c r="B927" s="84"/>
      <c r="C927" s="84"/>
      <c r="D927" s="84"/>
      <c r="E927" s="84"/>
      <c r="F927" s="84"/>
      <c r="G927" s="84"/>
      <c r="H927" s="84"/>
      <c r="I927" s="84"/>
      <c r="J927" s="84"/>
      <c r="K927" s="84"/>
      <c r="L927" s="84"/>
      <c r="M927" s="53"/>
      <c r="N927" s="53"/>
      <c r="O927" s="84"/>
    </row>
    <row r="928" spans="2:15" x14ac:dyDescent="0.25">
      <c r="B928" s="84"/>
      <c r="C928" s="84"/>
      <c r="D928" s="84"/>
      <c r="E928" s="84"/>
      <c r="F928" s="84"/>
      <c r="G928" s="84"/>
      <c r="H928" s="84"/>
      <c r="I928" s="84"/>
      <c r="J928" s="84"/>
      <c r="K928" s="84"/>
      <c r="L928" s="84"/>
      <c r="M928" s="53"/>
      <c r="N928" s="53"/>
      <c r="O928" s="84"/>
    </row>
    <row r="929" spans="2:15" x14ac:dyDescent="0.25">
      <c r="B929" s="84"/>
      <c r="C929" s="84"/>
      <c r="D929" s="84"/>
      <c r="E929" s="84"/>
      <c r="F929" s="84"/>
      <c r="G929" s="84"/>
      <c r="H929" s="84"/>
      <c r="I929" s="84"/>
      <c r="J929" s="84"/>
      <c r="K929" s="84"/>
      <c r="L929" s="84"/>
      <c r="M929" s="53"/>
      <c r="N929" s="53"/>
      <c r="O929" s="84"/>
    </row>
    <row r="930" spans="2:15" x14ac:dyDescent="0.25">
      <c r="B930" s="84"/>
      <c r="C930" s="84"/>
      <c r="D930" s="84"/>
      <c r="E930" s="84"/>
      <c r="F930" s="84"/>
      <c r="G930" s="84"/>
      <c r="H930" s="84"/>
      <c r="I930" s="84"/>
      <c r="J930" s="84"/>
      <c r="K930" s="84"/>
      <c r="L930" s="84"/>
      <c r="M930" s="53"/>
      <c r="N930" s="53"/>
      <c r="O930" s="84"/>
    </row>
    <row r="931" spans="2:15" x14ac:dyDescent="0.25">
      <c r="B931" s="84"/>
      <c r="C931" s="84"/>
      <c r="D931" s="84"/>
      <c r="E931" s="84"/>
      <c r="F931" s="84"/>
      <c r="G931" s="84"/>
      <c r="H931" s="84"/>
      <c r="I931" s="84"/>
      <c r="J931" s="84"/>
      <c r="K931" s="84"/>
      <c r="L931" s="84"/>
      <c r="M931" s="53"/>
      <c r="N931" s="53"/>
      <c r="O931" s="84"/>
    </row>
    <row r="932" spans="2:15" x14ac:dyDescent="0.25">
      <c r="B932" s="84"/>
      <c r="C932" s="84"/>
      <c r="D932" s="84"/>
      <c r="E932" s="84"/>
      <c r="F932" s="84"/>
      <c r="G932" s="84"/>
      <c r="H932" s="84"/>
      <c r="I932" s="84"/>
      <c r="J932" s="84"/>
      <c r="K932" s="84"/>
      <c r="L932" s="84"/>
      <c r="M932" s="53"/>
      <c r="N932" s="53"/>
      <c r="O932" s="84"/>
    </row>
    <row r="933" spans="2:15" x14ac:dyDescent="0.25">
      <c r="B933" s="84"/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53"/>
      <c r="N933" s="53"/>
      <c r="O933" s="84"/>
    </row>
    <row r="934" spans="2:15" x14ac:dyDescent="0.25">
      <c r="B934" s="84"/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53"/>
      <c r="N934" s="53"/>
      <c r="O934" s="84"/>
    </row>
    <row r="935" spans="2:15" x14ac:dyDescent="0.25">
      <c r="B935" s="84"/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53"/>
      <c r="N935" s="53"/>
      <c r="O935" s="84"/>
    </row>
    <row r="936" spans="2:15" x14ac:dyDescent="0.25">
      <c r="B936" s="84"/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53"/>
      <c r="N936" s="53"/>
      <c r="O936" s="84"/>
    </row>
    <row r="937" spans="2:15" x14ac:dyDescent="0.25">
      <c r="B937" s="84"/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53"/>
      <c r="N937" s="53"/>
      <c r="O937" s="84"/>
    </row>
    <row r="938" spans="2:15" x14ac:dyDescent="0.25">
      <c r="B938" s="84"/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53"/>
      <c r="N938" s="53"/>
      <c r="O938" s="84"/>
    </row>
    <row r="939" spans="2:15" x14ac:dyDescent="0.25">
      <c r="B939" s="84"/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53"/>
      <c r="N939" s="53"/>
      <c r="O939" s="84"/>
    </row>
    <row r="940" spans="2:15" x14ac:dyDescent="0.25">
      <c r="B940" s="84"/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53"/>
      <c r="N940" s="53"/>
      <c r="O940" s="84"/>
    </row>
    <row r="941" spans="2:15" x14ac:dyDescent="0.25">
      <c r="B941" s="84"/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53"/>
      <c r="N941" s="53"/>
      <c r="O941" s="84"/>
    </row>
    <row r="942" spans="2:15" x14ac:dyDescent="0.25">
      <c r="B942" s="84"/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53"/>
      <c r="N942" s="53"/>
      <c r="O942" s="84"/>
    </row>
    <row r="943" spans="2:15" x14ac:dyDescent="0.25">
      <c r="B943" s="84"/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53"/>
      <c r="N943" s="53"/>
      <c r="O943" s="84"/>
    </row>
    <row r="944" spans="2:15" x14ac:dyDescent="0.25">
      <c r="B944" s="84"/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53"/>
      <c r="N944" s="53"/>
      <c r="O944" s="84"/>
    </row>
    <row r="945" spans="2:15" x14ac:dyDescent="0.25">
      <c r="B945" s="84"/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53"/>
      <c r="N945" s="53"/>
      <c r="O945" s="84"/>
    </row>
    <row r="946" spans="2:15" x14ac:dyDescent="0.25">
      <c r="B946" s="84"/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53"/>
      <c r="N946" s="53"/>
      <c r="O946" s="84"/>
    </row>
    <row r="947" spans="2:15" x14ac:dyDescent="0.25">
      <c r="B947" s="84"/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53"/>
      <c r="N947" s="53"/>
      <c r="O947" s="84"/>
    </row>
    <row r="948" spans="2:15" x14ac:dyDescent="0.25">
      <c r="B948" s="84"/>
      <c r="C948" s="84"/>
      <c r="D948" s="84"/>
      <c r="E948" s="84"/>
      <c r="F948" s="84"/>
      <c r="G948" s="84"/>
      <c r="H948" s="84"/>
      <c r="I948" s="84"/>
      <c r="J948" s="84"/>
      <c r="K948" s="84"/>
      <c r="L948" s="84"/>
      <c r="M948" s="53"/>
      <c r="N948" s="53"/>
      <c r="O948" s="84"/>
    </row>
    <row r="949" spans="2:15" x14ac:dyDescent="0.25">
      <c r="B949" s="84"/>
      <c r="C949" s="84"/>
      <c r="D949" s="84"/>
      <c r="E949" s="84"/>
      <c r="F949" s="84"/>
      <c r="G949" s="84"/>
      <c r="H949" s="84"/>
      <c r="I949" s="84"/>
      <c r="J949" s="84"/>
      <c r="K949" s="84"/>
      <c r="L949" s="84"/>
      <c r="M949" s="53"/>
      <c r="N949" s="53"/>
      <c r="O949" s="84"/>
    </row>
    <row r="950" spans="2:15" x14ac:dyDescent="0.25">
      <c r="B950" s="84"/>
      <c r="C950" s="84"/>
      <c r="D950" s="84"/>
      <c r="E950" s="84"/>
      <c r="F950" s="84"/>
      <c r="G950" s="84"/>
      <c r="H950" s="84"/>
      <c r="I950" s="84"/>
      <c r="J950" s="84"/>
      <c r="K950" s="84"/>
      <c r="L950" s="84"/>
      <c r="M950" s="53"/>
      <c r="N950" s="53"/>
      <c r="O950" s="84"/>
    </row>
    <row r="951" spans="2:15" x14ac:dyDescent="0.25">
      <c r="B951" s="84"/>
      <c r="C951" s="84"/>
      <c r="D951" s="84"/>
      <c r="E951" s="84"/>
      <c r="F951" s="84"/>
      <c r="G951" s="84"/>
      <c r="H951" s="84"/>
      <c r="I951" s="84"/>
      <c r="J951" s="84"/>
      <c r="K951" s="84"/>
      <c r="L951" s="84"/>
      <c r="M951" s="53"/>
      <c r="N951" s="53"/>
      <c r="O951" s="84"/>
    </row>
    <row r="952" spans="2:15" x14ac:dyDescent="0.25">
      <c r="B952" s="84"/>
      <c r="C952" s="84"/>
      <c r="D952" s="84"/>
      <c r="E952" s="84"/>
      <c r="F952" s="84"/>
      <c r="G952" s="84"/>
      <c r="H952" s="84"/>
      <c r="I952" s="84"/>
      <c r="J952" s="84"/>
      <c r="K952" s="84"/>
      <c r="L952" s="84"/>
      <c r="M952" s="53"/>
      <c r="N952" s="53"/>
      <c r="O952" s="84"/>
    </row>
    <row r="953" spans="2:15" x14ac:dyDescent="0.25">
      <c r="B953" s="84"/>
      <c r="C953" s="84"/>
      <c r="D953" s="84"/>
      <c r="E953" s="84"/>
      <c r="F953" s="84"/>
      <c r="G953" s="84"/>
      <c r="H953" s="84"/>
      <c r="I953" s="84"/>
      <c r="J953" s="84"/>
      <c r="K953" s="84"/>
      <c r="L953" s="84"/>
      <c r="M953" s="53"/>
      <c r="N953" s="53"/>
      <c r="O953" s="84"/>
    </row>
    <row r="954" spans="2:15" x14ac:dyDescent="0.25">
      <c r="B954" s="84"/>
      <c r="C954" s="84"/>
      <c r="D954" s="84"/>
      <c r="E954" s="84"/>
      <c r="F954" s="84"/>
      <c r="G954" s="84"/>
      <c r="H954" s="84"/>
      <c r="I954" s="84"/>
      <c r="J954" s="84"/>
      <c r="K954" s="84"/>
      <c r="L954" s="84"/>
      <c r="M954" s="53"/>
      <c r="N954" s="53"/>
      <c r="O954" s="84"/>
    </row>
    <row r="955" spans="2:15" x14ac:dyDescent="0.25">
      <c r="B955" s="84"/>
      <c r="C955" s="84"/>
      <c r="D955" s="84"/>
      <c r="E955" s="84"/>
      <c r="F955" s="84"/>
      <c r="G955" s="84"/>
      <c r="H955" s="84"/>
      <c r="I955" s="84"/>
      <c r="J955" s="84"/>
      <c r="K955" s="84"/>
      <c r="L955" s="84"/>
      <c r="M955" s="53"/>
      <c r="N955" s="53"/>
      <c r="O955" s="84"/>
    </row>
    <row r="956" spans="2:15" x14ac:dyDescent="0.25">
      <c r="B956" s="84"/>
      <c r="C956" s="84"/>
      <c r="D956" s="84"/>
      <c r="E956" s="84"/>
      <c r="F956" s="84"/>
      <c r="G956" s="84"/>
      <c r="H956" s="84"/>
      <c r="I956" s="84"/>
      <c r="J956" s="84"/>
      <c r="K956" s="84"/>
      <c r="L956" s="84"/>
      <c r="M956" s="53"/>
      <c r="N956" s="53"/>
      <c r="O956" s="84"/>
    </row>
    <row r="957" spans="2:15" x14ac:dyDescent="0.25">
      <c r="B957" s="84"/>
      <c r="C957" s="84"/>
      <c r="D957" s="84"/>
      <c r="E957" s="84"/>
      <c r="F957" s="84"/>
      <c r="G957" s="84"/>
      <c r="H957" s="84"/>
      <c r="I957" s="84"/>
      <c r="J957" s="84"/>
      <c r="K957" s="84"/>
      <c r="L957" s="84"/>
      <c r="M957" s="53"/>
      <c r="N957" s="53"/>
      <c r="O957" s="84"/>
    </row>
    <row r="958" spans="2:15" x14ac:dyDescent="0.25">
      <c r="B958" s="84"/>
      <c r="C958" s="84"/>
      <c r="D958" s="84"/>
      <c r="E958" s="84"/>
      <c r="F958" s="84"/>
      <c r="G958" s="84"/>
      <c r="H958" s="84"/>
      <c r="I958" s="84"/>
      <c r="J958" s="84"/>
      <c r="K958" s="84"/>
      <c r="L958" s="84"/>
      <c r="M958" s="53"/>
      <c r="N958" s="53"/>
      <c r="O958" s="84"/>
    </row>
    <row r="959" spans="2:15" x14ac:dyDescent="0.25">
      <c r="B959" s="84"/>
      <c r="C959" s="84"/>
      <c r="D959" s="84"/>
      <c r="E959" s="84"/>
      <c r="F959" s="84"/>
      <c r="G959" s="84"/>
      <c r="H959" s="84"/>
      <c r="I959" s="84"/>
      <c r="J959" s="84"/>
      <c r="K959" s="84"/>
      <c r="L959" s="84"/>
      <c r="M959" s="53"/>
      <c r="N959" s="53"/>
      <c r="O959" s="84"/>
    </row>
    <row r="960" spans="2:15" x14ac:dyDescent="0.25">
      <c r="B960" s="84"/>
      <c r="C960" s="84"/>
      <c r="D960" s="84"/>
      <c r="E960" s="84"/>
      <c r="F960" s="84"/>
      <c r="G960" s="84"/>
      <c r="H960" s="84"/>
      <c r="I960" s="84"/>
      <c r="J960" s="84"/>
      <c r="K960" s="84"/>
      <c r="L960" s="84"/>
      <c r="M960" s="53"/>
      <c r="N960" s="53"/>
      <c r="O960" s="84"/>
    </row>
    <row r="961" spans="2:15" x14ac:dyDescent="0.25">
      <c r="B961" s="84"/>
      <c r="C961" s="84"/>
      <c r="D961" s="84"/>
      <c r="E961" s="84"/>
      <c r="F961" s="84"/>
      <c r="G961" s="84"/>
      <c r="H961" s="84"/>
      <c r="I961" s="84"/>
      <c r="J961" s="84"/>
      <c r="K961" s="84"/>
      <c r="L961" s="84"/>
      <c r="M961" s="53"/>
      <c r="N961" s="53"/>
      <c r="O961" s="84"/>
    </row>
    <row r="962" spans="2:15" x14ac:dyDescent="0.25">
      <c r="B962" s="84"/>
      <c r="C962" s="84"/>
      <c r="D962" s="84"/>
      <c r="E962" s="84"/>
      <c r="F962" s="84"/>
      <c r="G962" s="84"/>
      <c r="H962" s="84"/>
      <c r="I962" s="84"/>
      <c r="J962" s="84"/>
      <c r="K962" s="84"/>
      <c r="L962" s="84"/>
      <c r="M962" s="53"/>
      <c r="N962" s="53"/>
      <c r="O962" s="84"/>
    </row>
    <row r="963" spans="2:15" x14ac:dyDescent="0.25">
      <c r="B963" s="84"/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53"/>
      <c r="N963" s="53"/>
      <c r="O963" s="84"/>
    </row>
    <row r="964" spans="2:15" x14ac:dyDescent="0.25">
      <c r="B964" s="84"/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53"/>
      <c r="N964" s="53"/>
      <c r="O964" s="84"/>
    </row>
    <row r="965" spans="2:15" x14ac:dyDescent="0.25">
      <c r="B965" s="84"/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53"/>
      <c r="N965" s="53"/>
      <c r="O965" s="84"/>
    </row>
    <row r="966" spans="2:15" x14ac:dyDescent="0.25">
      <c r="B966" s="84"/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53"/>
      <c r="N966" s="53"/>
      <c r="O966" s="84"/>
    </row>
    <row r="967" spans="2:15" x14ac:dyDescent="0.25">
      <c r="B967" s="84"/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53"/>
      <c r="N967" s="53"/>
      <c r="O967" s="84"/>
    </row>
    <row r="968" spans="2:15" x14ac:dyDescent="0.25">
      <c r="B968" s="84"/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53"/>
      <c r="N968" s="53"/>
      <c r="O968" s="84"/>
    </row>
    <row r="969" spans="2:15" x14ac:dyDescent="0.25">
      <c r="B969" s="84"/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53"/>
      <c r="N969" s="53"/>
      <c r="O969" s="84"/>
    </row>
    <row r="970" spans="2:15" x14ac:dyDescent="0.25">
      <c r="B970" s="84"/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53"/>
      <c r="N970" s="53"/>
      <c r="O970" s="84"/>
    </row>
    <row r="971" spans="2:15" x14ac:dyDescent="0.25">
      <c r="B971" s="84"/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53"/>
      <c r="N971" s="53"/>
      <c r="O971" s="84"/>
    </row>
    <row r="972" spans="2:15" x14ac:dyDescent="0.25">
      <c r="B972" s="84"/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53"/>
      <c r="N972" s="53"/>
      <c r="O972" s="84"/>
    </row>
    <row r="973" spans="2:15" x14ac:dyDescent="0.25">
      <c r="B973" s="84"/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53"/>
      <c r="N973" s="53"/>
      <c r="O973" s="84"/>
    </row>
    <row r="974" spans="2:15" x14ac:dyDescent="0.25">
      <c r="B974" s="84"/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53"/>
      <c r="N974" s="53"/>
      <c r="O974" s="84"/>
    </row>
    <row r="975" spans="2:15" x14ac:dyDescent="0.25">
      <c r="B975" s="84"/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53"/>
      <c r="N975" s="53"/>
      <c r="O975" s="84"/>
    </row>
    <row r="976" spans="2:15" x14ac:dyDescent="0.25">
      <c r="B976" s="84"/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53"/>
      <c r="N976" s="53"/>
      <c r="O976" s="84"/>
    </row>
    <row r="977" spans="2:15" x14ac:dyDescent="0.25">
      <c r="B977" s="84"/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53"/>
      <c r="N977" s="53"/>
      <c r="O977" s="84"/>
    </row>
    <row r="978" spans="2:15" x14ac:dyDescent="0.25">
      <c r="B978" s="84"/>
      <c r="C978" s="84"/>
      <c r="D978" s="84"/>
      <c r="E978" s="84"/>
      <c r="F978" s="84"/>
      <c r="G978" s="84"/>
      <c r="H978" s="84"/>
      <c r="I978" s="84"/>
      <c r="J978" s="84"/>
      <c r="K978" s="84"/>
      <c r="L978" s="84"/>
      <c r="M978" s="53"/>
      <c r="N978" s="53"/>
      <c r="O978" s="84"/>
    </row>
    <row r="979" spans="2:15" x14ac:dyDescent="0.25">
      <c r="B979" s="84"/>
      <c r="C979" s="84"/>
      <c r="D979" s="84"/>
      <c r="E979" s="84"/>
      <c r="F979" s="84"/>
      <c r="G979" s="84"/>
      <c r="H979" s="84"/>
      <c r="I979" s="84"/>
      <c r="J979" s="84"/>
      <c r="K979" s="84"/>
      <c r="L979" s="84"/>
      <c r="M979" s="53"/>
      <c r="N979" s="53"/>
      <c r="O979" s="84"/>
    </row>
    <row r="980" spans="2:15" x14ac:dyDescent="0.25">
      <c r="B980" s="84"/>
      <c r="C980" s="84"/>
      <c r="D980" s="84"/>
      <c r="E980" s="84"/>
      <c r="F980" s="84"/>
      <c r="G980" s="84"/>
      <c r="H980" s="84"/>
      <c r="I980" s="84"/>
      <c r="J980" s="84"/>
      <c r="K980" s="84"/>
      <c r="L980" s="84"/>
      <c r="M980" s="53"/>
      <c r="N980" s="53"/>
      <c r="O980" s="84"/>
    </row>
    <row r="981" spans="2:15" x14ac:dyDescent="0.25">
      <c r="B981" s="84"/>
      <c r="C981" s="84"/>
      <c r="D981" s="84"/>
      <c r="E981" s="84"/>
      <c r="F981" s="84"/>
      <c r="G981" s="84"/>
      <c r="H981" s="84"/>
      <c r="I981" s="84"/>
      <c r="J981" s="84"/>
      <c r="K981" s="84"/>
      <c r="L981" s="84"/>
      <c r="M981" s="53"/>
      <c r="N981" s="53"/>
      <c r="O981" s="84"/>
    </row>
    <row r="982" spans="2:15" x14ac:dyDescent="0.25">
      <c r="B982" s="84"/>
      <c r="C982" s="84"/>
      <c r="D982" s="84"/>
      <c r="E982" s="84"/>
      <c r="F982" s="84"/>
      <c r="G982" s="84"/>
      <c r="H982" s="84"/>
      <c r="I982" s="84"/>
      <c r="J982" s="84"/>
      <c r="K982" s="84"/>
      <c r="L982" s="84"/>
      <c r="M982" s="53"/>
      <c r="N982" s="53"/>
      <c r="O982" s="84"/>
    </row>
    <row r="983" spans="2:15" x14ac:dyDescent="0.25">
      <c r="B983" s="84"/>
      <c r="C983" s="84"/>
      <c r="D983" s="84"/>
      <c r="E983" s="84"/>
      <c r="F983" s="84"/>
      <c r="G983" s="84"/>
      <c r="H983" s="84"/>
      <c r="I983" s="84"/>
      <c r="J983" s="84"/>
      <c r="K983" s="84"/>
      <c r="L983" s="84"/>
      <c r="M983" s="53"/>
      <c r="N983" s="53"/>
      <c r="O983" s="84"/>
    </row>
    <row r="984" spans="2:15" x14ac:dyDescent="0.25">
      <c r="B984" s="84"/>
      <c r="C984" s="84"/>
      <c r="D984" s="84"/>
      <c r="E984" s="84"/>
      <c r="F984" s="84"/>
      <c r="G984" s="84"/>
      <c r="H984" s="84"/>
      <c r="I984" s="84"/>
      <c r="J984" s="84"/>
      <c r="K984" s="84"/>
      <c r="L984" s="84"/>
      <c r="M984" s="53"/>
      <c r="N984" s="53"/>
      <c r="O984" s="84"/>
    </row>
    <row r="985" spans="2:15" x14ac:dyDescent="0.25">
      <c r="B985" s="84"/>
      <c r="C985" s="84"/>
      <c r="D985" s="84"/>
      <c r="E985" s="84"/>
      <c r="F985" s="84"/>
      <c r="G985" s="84"/>
      <c r="H985" s="84"/>
      <c r="I985" s="84"/>
      <c r="J985" s="84"/>
      <c r="K985" s="84"/>
      <c r="L985" s="84"/>
      <c r="M985" s="53"/>
      <c r="N985" s="53"/>
      <c r="O985" s="84"/>
    </row>
    <row r="986" spans="2:15" x14ac:dyDescent="0.25">
      <c r="B986" s="84"/>
      <c r="C986" s="84"/>
      <c r="D986" s="84"/>
      <c r="E986" s="84"/>
      <c r="F986" s="84"/>
      <c r="G986" s="84"/>
      <c r="H986" s="84"/>
      <c r="I986" s="84"/>
      <c r="J986" s="84"/>
      <c r="K986" s="84"/>
      <c r="L986" s="84"/>
      <c r="M986" s="53"/>
      <c r="N986" s="53"/>
      <c r="O986" s="84"/>
    </row>
    <row r="987" spans="2:15" x14ac:dyDescent="0.25">
      <c r="B987" s="84"/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53"/>
      <c r="N987" s="53"/>
      <c r="O987" s="84"/>
    </row>
    <row r="988" spans="2:15" x14ac:dyDescent="0.25">
      <c r="B988" s="84"/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53"/>
      <c r="N988" s="53"/>
      <c r="O988" s="84"/>
    </row>
    <row r="989" spans="2:15" x14ac:dyDescent="0.25">
      <c r="B989" s="84"/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53"/>
      <c r="N989" s="53"/>
      <c r="O989" s="84"/>
    </row>
    <row r="990" spans="2:15" x14ac:dyDescent="0.25">
      <c r="B990" s="84"/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53"/>
      <c r="N990" s="53"/>
      <c r="O990" s="84"/>
    </row>
    <row r="991" spans="2:15" x14ac:dyDescent="0.25">
      <c r="B991" s="84"/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53"/>
      <c r="N991" s="53"/>
      <c r="O991" s="84"/>
    </row>
    <row r="992" spans="2:15" x14ac:dyDescent="0.25">
      <c r="B992" s="84"/>
      <c r="C992" s="84"/>
      <c r="D992" s="84"/>
      <c r="E992" s="84"/>
      <c r="F992" s="84"/>
      <c r="G992" s="84"/>
      <c r="H992" s="84"/>
      <c r="I992" s="84"/>
      <c r="J992" s="84"/>
      <c r="K992" s="84"/>
      <c r="L992" s="84"/>
      <c r="M992" s="53"/>
      <c r="N992" s="53"/>
      <c r="O992" s="84"/>
    </row>
    <row r="993" spans="2:15" x14ac:dyDescent="0.25">
      <c r="B993" s="84"/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53"/>
      <c r="N993" s="53"/>
      <c r="O993" s="84"/>
    </row>
    <row r="994" spans="2:15" x14ac:dyDescent="0.25">
      <c r="B994" s="84"/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53"/>
      <c r="N994" s="53"/>
      <c r="O994" s="84"/>
    </row>
  </sheetData>
  <sheetProtection sheet="1" selectLockedCells="1"/>
  <mergeCells count="45">
    <mergeCell ref="G112:M112"/>
    <mergeCell ref="G131:M131"/>
    <mergeCell ref="G65:M65"/>
    <mergeCell ref="G67:M67"/>
    <mergeCell ref="G69:M69"/>
    <mergeCell ref="G71:M71"/>
    <mergeCell ref="E110:M110"/>
    <mergeCell ref="G63:M63"/>
    <mergeCell ref="G29:M29"/>
    <mergeCell ref="G31:M31"/>
    <mergeCell ref="G33:M33"/>
    <mergeCell ref="G37:M37"/>
    <mergeCell ref="G39:M39"/>
    <mergeCell ref="G43:M43"/>
    <mergeCell ref="G45:M45"/>
    <mergeCell ref="G49:M49"/>
    <mergeCell ref="G51:M51"/>
    <mergeCell ref="G61:M61"/>
    <mergeCell ref="G41:M41"/>
    <mergeCell ref="G47:M47"/>
    <mergeCell ref="G27:M27"/>
    <mergeCell ref="G13:M13"/>
    <mergeCell ref="G15:M15"/>
    <mergeCell ref="G21:M21"/>
    <mergeCell ref="G23:M23"/>
    <mergeCell ref="G25:M25"/>
    <mergeCell ref="G17:M17"/>
    <mergeCell ref="G143:M143"/>
    <mergeCell ref="G145:M145"/>
    <mergeCell ref="G118:M118"/>
    <mergeCell ref="G116:M116"/>
    <mergeCell ref="G114:M114"/>
    <mergeCell ref="G133:M133"/>
    <mergeCell ref="G135:M135"/>
    <mergeCell ref="G137:M137"/>
    <mergeCell ref="G139:M139"/>
    <mergeCell ref="G141:M141"/>
    <mergeCell ref="E129:M129"/>
    <mergeCell ref="G165:M165"/>
    <mergeCell ref="G167:M167"/>
    <mergeCell ref="G153:M153"/>
    <mergeCell ref="G155:M155"/>
    <mergeCell ref="G157:M157"/>
    <mergeCell ref="G161:M161"/>
    <mergeCell ref="G163:M163"/>
  </mergeCells>
  <conditionalFormatting sqref="E15">
    <cfRule type="cellIs" dxfId="101" priority="217" operator="between">
      <formula>1</formula>
      <formula>1000</formula>
    </cfRule>
  </conditionalFormatting>
  <conditionalFormatting sqref="E17:E18">
    <cfRule type="cellIs" dxfId="100" priority="141" operator="between">
      <formula>"a"</formula>
      <formula>"z"</formula>
    </cfRule>
    <cfRule type="cellIs" dxfId="99" priority="215" operator="between">
      <formula>"a"</formula>
      <formula>"z"</formula>
    </cfRule>
    <cfRule type="containsText" dxfId="98" priority="216" operator="containsText" text="a">
      <formula>NOT(ISERROR(SEARCH("a",E17)))</formula>
    </cfRule>
  </conditionalFormatting>
  <conditionalFormatting sqref="E21">
    <cfRule type="cellIs" dxfId="97" priority="214" operator="between">
      <formula>"A"</formula>
      <formula>"Z"</formula>
    </cfRule>
  </conditionalFormatting>
  <conditionalFormatting sqref="E23">
    <cfRule type="uniqueValues" dxfId="96" priority="190"/>
  </conditionalFormatting>
  <conditionalFormatting sqref="E25">
    <cfRule type="uniqueValues" dxfId="95" priority="189"/>
    <cfRule type="beginsWith" dxfId="94" priority="209" operator="beginsWith" text="u">
      <formula>LEFT(E25,LEN("u"))="u"</formula>
    </cfRule>
  </conditionalFormatting>
  <conditionalFormatting sqref="E27">
    <cfRule type="cellIs" dxfId="93" priority="208" operator="greaterThan">
      <formula>0</formula>
    </cfRule>
  </conditionalFormatting>
  <conditionalFormatting sqref="E29">
    <cfRule type="cellIs" dxfId="92" priority="206" operator="greaterThan">
      <formula>0</formula>
    </cfRule>
  </conditionalFormatting>
  <conditionalFormatting sqref="E31">
    <cfRule type="cellIs" dxfId="91" priority="204" operator="greaterThan">
      <formula>0</formula>
    </cfRule>
  </conditionalFormatting>
  <conditionalFormatting sqref="E33:E34">
    <cfRule type="uniqueValues" dxfId="90" priority="188"/>
  </conditionalFormatting>
  <conditionalFormatting sqref="E37">
    <cfRule type="cellIs" dxfId="89" priority="201" operator="between">
      <formula>"A"</formula>
      <formula>"Z"</formula>
    </cfRule>
  </conditionalFormatting>
  <conditionalFormatting sqref="E41">
    <cfRule type="cellIs" dxfId="88" priority="196" operator="greaterThan">
      <formula>0</formula>
    </cfRule>
    <cfRule type="cellIs" dxfId="87" priority="197" operator="between">
      <formula>1</formula>
      <formula>2055</formula>
    </cfRule>
  </conditionalFormatting>
  <conditionalFormatting sqref="E43">
    <cfRule type="cellIs" dxfId="86" priority="195" operator="greaterThan">
      <formula>0</formula>
    </cfRule>
  </conditionalFormatting>
  <conditionalFormatting sqref="E45">
    <cfRule type="cellIs" dxfId="85" priority="192" operator="greaterThan">
      <formula>0</formula>
    </cfRule>
  </conditionalFormatting>
  <conditionalFormatting sqref="E47">
    <cfRule type="cellIs" dxfId="84" priority="191" operator="between">
      <formula>"A"</formula>
      <formula>"Z"</formula>
    </cfRule>
  </conditionalFormatting>
  <conditionalFormatting sqref="E49">
    <cfRule type="cellIs" dxfId="83" priority="187" operator="between">
      <formula>"A"</formula>
      <formula>"Z"</formula>
    </cfRule>
  </conditionalFormatting>
  <conditionalFormatting sqref="E51">
    <cfRule type="cellIs" dxfId="82" priority="186" operator="between">
      <formula>"A"</formula>
      <formula>"Z"</formula>
    </cfRule>
  </conditionalFormatting>
  <conditionalFormatting sqref="E61">
    <cfRule type="cellIs" dxfId="81" priority="185" operator="between">
      <formula>"A"</formula>
      <formula>"Z"</formula>
    </cfRule>
  </conditionalFormatting>
  <conditionalFormatting sqref="E63">
    <cfRule type="uniqueValues" dxfId="80" priority="184"/>
  </conditionalFormatting>
  <conditionalFormatting sqref="E65">
    <cfRule type="uniqueValues" dxfId="79" priority="183"/>
  </conditionalFormatting>
  <conditionalFormatting sqref="E67">
    <cfRule type="uniqueValues" dxfId="78" priority="182"/>
  </conditionalFormatting>
  <conditionalFormatting sqref="E69">
    <cfRule type="uniqueValues" dxfId="77" priority="181"/>
  </conditionalFormatting>
  <conditionalFormatting sqref="E71">
    <cfRule type="uniqueValues" dxfId="76" priority="180"/>
  </conditionalFormatting>
  <conditionalFormatting sqref="E94 G94 I94 K94 K96 I96 G96 E96">
    <cfRule type="containsText" dxfId="75" priority="168" operator="containsText" text="*">
      <formula>NOT(ISERROR(SEARCH("*",E94)))</formula>
    </cfRule>
  </conditionalFormatting>
  <conditionalFormatting sqref="E177 G177 I177 K177 M177:N177">
    <cfRule type="cellIs" dxfId="74" priority="157" operator="between">
      <formula>1</formula>
      <formula>130</formula>
    </cfRule>
  </conditionalFormatting>
  <conditionalFormatting sqref="E179 G179 I179 K179 M179:N179 M181:N181 M183:N183 K183 K181 I181 I183 G183 G181 E181 E183">
    <cfRule type="cellIs" dxfId="73" priority="156" operator="between">
      <formula>"A"</formula>
      <formula>"Z"</formula>
    </cfRule>
  </conditionalFormatting>
  <conditionalFormatting sqref="I87">
    <cfRule type="cellIs" dxfId="72" priority="155" operator="between">
      <formula>"A"</formula>
      <formula>"Z"</formula>
    </cfRule>
  </conditionalFormatting>
  <conditionalFormatting sqref="E87">
    <cfRule type="cellIs" dxfId="71" priority="154" operator="between">
      <formula>"A"</formula>
      <formula>"Z"</formula>
    </cfRule>
  </conditionalFormatting>
  <conditionalFormatting sqref="I100:I101">
    <cfRule type="cellIs" dxfId="70" priority="152" operator="between">
      <formula>"A"</formula>
      <formula>"Z"</formula>
    </cfRule>
  </conditionalFormatting>
  <conditionalFormatting sqref="E100:E101">
    <cfRule type="cellIs" dxfId="69" priority="151" operator="between">
      <formula>"A"</formula>
      <formula>"Z"</formula>
    </cfRule>
  </conditionalFormatting>
  <conditionalFormatting sqref="D5">
    <cfRule type="colorScale" priority="150">
      <colorScale>
        <cfvo type="min"/>
        <cfvo type="max"/>
        <color rgb="FFFF7128"/>
        <color rgb="FFFFEF9C"/>
      </colorScale>
    </cfRule>
  </conditionalFormatting>
  <conditionalFormatting sqref="E4">
    <cfRule type="iconSet" priority="146">
      <iconSet iconSet="3Symbols">
        <cfvo type="percent" val="0"/>
        <cfvo type="num" val="0"/>
        <cfvo type="num" val="81" gte="0"/>
      </iconSet>
    </cfRule>
  </conditionalFormatting>
  <conditionalFormatting sqref="E13">
    <cfRule type="beginsWith" dxfId="68" priority="142" operator="beginsWith" text="Ü">
      <formula>LEFT(E13,LEN("Ü"))="Ü"</formula>
    </cfRule>
    <cfRule type="beginsWith" dxfId="67" priority="143" operator="beginsWith" text="Ö">
      <formula>LEFT(E13,LEN("Ö"))="Ö"</formula>
    </cfRule>
    <cfRule type="beginsWith" dxfId="66" priority="144" operator="beginsWith" text="Ä">
      <formula>LEFT(E13,LEN("Ä"))="Ä"</formula>
    </cfRule>
    <cfRule type="cellIs" dxfId="65" priority="145" operator="between">
      <formula>"A"</formula>
      <formula>"Z"</formula>
    </cfRule>
  </conditionalFormatting>
  <conditionalFormatting sqref="E114">
    <cfRule type="cellIs" dxfId="64" priority="139" operator="between">
      <formula>"A"</formula>
      <formula>"Z"</formula>
    </cfRule>
  </conditionalFormatting>
  <conditionalFormatting sqref="E116">
    <cfRule type="cellIs" dxfId="63" priority="138" operator="between">
      <formula>"A"</formula>
      <formula>"Z"</formula>
    </cfRule>
  </conditionalFormatting>
  <conditionalFormatting sqref="E118:E119">
    <cfRule type="cellIs" dxfId="62" priority="137" operator="between">
      <formula>"A"</formula>
      <formula>"Z"</formula>
    </cfRule>
  </conditionalFormatting>
  <conditionalFormatting sqref="E122">
    <cfRule type="cellIs" dxfId="61" priority="136" operator="between">
      <formula>"A"</formula>
      <formula>"Z"</formula>
    </cfRule>
  </conditionalFormatting>
  <conditionalFormatting sqref="E133">
    <cfRule type="cellIs" dxfId="60" priority="135" operator="between">
      <formula>"A"</formula>
      <formula>"Z"</formula>
    </cfRule>
  </conditionalFormatting>
  <conditionalFormatting sqref="E135">
    <cfRule type="cellIs" dxfId="59" priority="133" operator="between">
      <formula>"A"</formula>
      <formula>"Z"</formula>
    </cfRule>
    <cfRule type="cellIs" dxfId="58" priority="134" operator="between">
      <formula>"A"</formula>
      <formula>"Z"</formula>
    </cfRule>
  </conditionalFormatting>
  <conditionalFormatting sqref="E137">
    <cfRule type="cellIs" dxfId="57" priority="132" operator="between">
      <formula>"A"</formula>
      <formula>"Z"</formula>
    </cfRule>
  </conditionalFormatting>
  <conditionalFormatting sqref="E139 E141 E143 E145:E146">
    <cfRule type="cellIs" dxfId="56" priority="131" operator="between">
      <formula>"A"</formula>
      <formula>"Z"</formula>
    </cfRule>
  </conditionalFormatting>
  <conditionalFormatting sqref="E153">
    <cfRule type="cellIs" dxfId="55" priority="130" operator="between">
      <formula>1</formula>
      <formula>1000000</formula>
    </cfRule>
  </conditionalFormatting>
  <conditionalFormatting sqref="E155">
    <cfRule type="uniqueValues" dxfId="54" priority="129"/>
  </conditionalFormatting>
  <conditionalFormatting sqref="E157">
    <cfRule type="cellIs" dxfId="53" priority="128" operator="between">
      <formula>"A"</formula>
      <formula>"Z"</formula>
    </cfRule>
  </conditionalFormatting>
  <conditionalFormatting sqref="E161">
    <cfRule type="uniqueValues" dxfId="52" priority="127"/>
  </conditionalFormatting>
  <conditionalFormatting sqref="E163">
    <cfRule type="uniqueValues" dxfId="51" priority="125"/>
  </conditionalFormatting>
  <conditionalFormatting sqref="E165">
    <cfRule type="uniqueValues" dxfId="50" priority="124"/>
  </conditionalFormatting>
  <conditionalFormatting sqref="E167">
    <cfRule type="uniqueValues" dxfId="49" priority="122"/>
    <cfRule type="uniqueValues" dxfId="48" priority="123"/>
  </conditionalFormatting>
  <conditionalFormatting sqref="E174">
    <cfRule type="cellIs" dxfId="47" priority="121" operator="between">
      <formula>1</formula>
      <formula>200</formula>
    </cfRule>
  </conditionalFormatting>
  <conditionalFormatting sqref="I81">
    <cfRule type="containsText" dxfId="46" priority="69" operator="containsText" text="*">
      <formula>NOT(ISERROR(SEARCH("*",I81)))</formula>
    </cfRule>
  </conditionalFormatting>
  <conditionalFormatting sqref="K81">
    <cfRule type="containsText" dxfId="45" priority="68" operator="containsText" text="*">
      <formula>NOT(ISERROR(SEARCH("*",K81)))</formula>
    </cfRule>
  </conditionalFormatting>
  <conditionalFormatting sqref="E83 E81 I79 I83 K79 K83 I85 K85 E85">
    <cfRule type="containsText" dxfId="44" priority="66" operator="containsText" text="*">
      <formula>NOT(ISERROR(SEARCH("*",E79)))</formula>
    </cfRule>
  </conditionalFormatting>
  <conditionalFormatting sqref="G79 G83 G81 G85">
    <cfRule type="containsText" dxfId="43" priority="65" operator="containsText" text="*">
      <formula>NOT(ISERROR(SEARCH("*",G79)))</formula>
    </cfRule>
  </conditionalFormatting>
  <conditionalFormatting sqref="E79">
    <cfRule type="containsText" dxfId="42" priority="67" operator="containsText" text="*">
      <formula>NOT(ISERROR(SEARCH("*",E79)))</formula>
    </cfRule>
  </conditionalFormatting>
  <conditionalFormatting sqref="E98">
    <cfRule type="containsText" dxfId="41" priority="52" operator="containsText" text="*">
      <formula>NOT(ISERROR(SEARCH("*",E98)))</formula>
    </cfRule>
  </conditionalFormatting>
  <conditionalFormatting sqref="G98">
    <cfRule type="containsText" dxfId="40" priority="51" operator="containsText" text="*">
      <formula>NOT(ISERROR(SEARCH("*",G98)))</formula>
    </cfRule>
  </conditionalFormatting>
  <conditionalFormatting sqref="I98">
    <cfRule type="containsText" dxfId="39" priority="50" operator="containsText" text="*">
      <formula>NOT(ISERROR(SEARCH("*",I98)))</formula>
    </cfRule>
  </conditionalFormatting>
  <conditionalFormatting sqref="K98">
    <cfRule type="containsText" dxfId="38" priority="49" operator="containsText" text="*">
      <formula>NOT(ISERROR(SEARCH("*",K98)))</formula>
    </cfRule>
  </conditionalFormatting>
  <conditionalFormatting sqref="E112">
    <cfRule type="cellIs" dxfId="37" priority="40" operator="greaterThan">
      <formula>0</formula>
    </cfRule>
    <cfRule type="cellIs" dxfId="36" priority="41" operator="between">
      <formula>1</formula>
      <formula>2055</formula>
    </cfRule>
  </conditionalFormatting>
  <conditionalFormatting sqref="E131">
    <cfRule type="cellIs" dxfId="35" priority="38" operator="greaterThan">
      <formula>0</formula>
    </cfRule>
    <cfRule type="cellIs" dxfId="34" priority="39" operator="between">
      <formula>1</formula>
      <formula>2055</formula>
    </cfRule>
  </conditionalFormatting>
  <conditionalFormatting sqref="E194 G194 I194 K194 M194:N194">
    <cfRule type="cellIs" dxfId="33" priority="37" operator="between">
      <formula>1</formula>
      <formula>130</formula>
    </cfRule>
  </conditionalFormatting>
  <conditionalFormatting sqref="E196 G196 I196 K196 M196:N196 M198:N198 M200:N200 K200 K198 I198 I200 G200 G198 E198 E200">
    <cfRule type="cellIs" dxfId="32" priority="36" operator="between">
      <formula>"A"</formula>
      <formula>"Z"</formula>
    </cfRule>
  </conditionalFormatting>
  <conditionalFormatting sqref="E191">
    <cfRule type="cellIs" dxfId="31" priority="35" operator="between">
      <formula>1</formula>
      <formula>200</formula>
    </cfRule>
  </conditionalFormatting>
  <conditionalFormatting sqref="E212 G212 I212 K212 M212:N212">
    <cfRule type="cellIs" dxfId="30" priority="34" operator="between">
      <formula>1</formula>
      <formula>130</formula>
    </cfRule>
  </conditionalFormatting>
  <conditionalFormatting sqref="E214 G214 I214 K214 M214:N214 M216:N216 M218:N218 K218 K216 I216 I218 G218 G216 E216 E218">
    <cfRule type="cellIs" dxfId="29" priority="33" operator="between">
      <formula>"A"</formula>
      <formula>"Z"</formula>
    </cfRule>
  </conditionalFormatting>
  <conditionalFormatting sqref="E209">
    <cfRule type="cellIs" dxfId="28" priority="32" operator="between">
      <formula>1</formula>
      <formula>200</formula>
    </cfRule>
  </conditionalFormatting>
  <conditionalFormatting sqref="E230 G230 I230 K230 M230:N230">
    <cfRule type="cellIs" dxfId="27" priority="31" operator="between">
      <formula>1</formula>
      <formula>130</formula>
    </cfRule>
  </conditionalFormatting>
  <conditionalFormatting sqref="E232 G232 I232 K232 M232:N232 M234:N234 M236:N236 K236 K234 I234 I236 G236 G234 E234 E236">
    <cfRule type="cellIs" dxfId="26" priority="30" operator="between">
      <formula>"A"</formula>
      <formula>"Z"</formula>
    </cfRule>
  </conditionalFormatting>
  <conditionalFormatting sqref="E227">
    <cfRule type="cellIs" dxfId="25" priority="29" operator="between">
      <formula>1</formula>
      <formula>200</formula>
    </cfRule>
  </conditionalFormatting>
  <conditionalFormatting sqref="E248 G248 I248 K248 M248:N248">
    <cfRule type="cellIs" dxfId="24" priority="28" operator="between">
      <formula>1</formula>
      <formula>130</formula>
    </cfRule>
  </conditionalFormatting>
  <conditionalFormatting sqref="E250 G250 I250 K250 M250:N250 M252:N252 M254:N254 K254 K252 I252 I254 G254 G252 E252 E254">
    <cfRule type="cellIs" dxfId="23" priority="27" operator="between">
      <formula>"A"</formula>
      <formula>"Z"</formula>
    </cfRule>
  </conditionalFormatting>
  <conditionalFormatting sqref="E245">
    <cfRule type="cellIs" dxfId="22" priority="26" operator="between">
      <formula>1</formula>
      <formula>200</formula>
    </cfRule>
  </conditionalFormatting>
  <conditionalFormatting sqref="I5">
    <cfRule type="cellIs" dxfId="21" priority="25" operator="between">
      <formula>1</formula>
      <formula>200</formula>
    </cfRule>
  </conditionalFormatting>
  <conditionalFormatting sqref="E212 G212 I212 K212 M212">
    <cfRule type="cellIs" dxfId="20" priority="24" operator="between">
      <formula>1</formula>
      <formula>130</formula>
    </cfRule>
  </conditionalFormatting>
  <conditionalFormatting sqref="E214 G214 I214 K214 M214 M216 M218 K218 K216 I216 I218 G218 G216 E216 E218">
    <cfRule type="cellIs" dxfId="19" priority="23" operator="between">
      <formula>"A"</formula>
      <formula>"Z"</formula>
    </cfRule>
  </conditionalFormatting>
  <conditionalFormatting sqref="E230 G230 I230 K230 M230">
    <cfRule type="cellIs" dxfId="18" priority="22" operator="between">
      <formula>1</formula>
      <formula>130</formula>
    </cfRule>
  </conditionalFormatting>
  <conditionalFormatting sqref="E232 G232 I232 K232 M232 M234 M236 K236 K234 I234 I236 G236 G234 E234 E236">
    <cfRule type="cellIs" dxfId="17" priority="21" operator="between">
      <formula>"A"</formula>
      <formula>"Z"</formula>
    </cfRule>
  </conditionalFormatting>
  <conditionalFormatting sqref="E227">
    <cfRule type="cellIs" dxfId="16" priority="20" operator="between">
      <formula>1</formula>
      <formula>200</formula>
    </cfRule>
  </conditionalFormatting>
  <conditionalFormatting sqref="E230 G230 I230 K230 M230">
    <cfRule type="cellIs" dxfId="15" priority="19" operator="between">
      <formula>1</formula>
      <formula>130</formula>
    </cfRule>
  </conditionalFormatting>
  <conditionalFormatting sqref="E232 G232 I232 K232 M232 M234 M236 K236 K234 I234 I236 G236 G234 E234 E236">
    <cfRule type="cellIs" dxfId="14" priority="18" operator="between">
      <formula>"A"</formula>
      <formula>"Z"</formula>
    </cfRule>
  </conditionalFormatting>
  <conditionalFormatting sqref="E248 G248 I248 K248 M248">
    <cfRule type="cellIs" dxfId="13" priority="17" operator="between">
      <formula>1</formula>
      <formula>130</formula>
    </cfRule>
  </conditionalFormatting>
  <conditionalFormatting sqref="E250 G250 I250 K250 M250 M252 M254 K254 K252 I252 I254 G254 G252 E252 E254">
    <cfRule type="cellIs" dxfId="12" priority="16" operator="between">
      <formula>"A"</formula>
      <formula>"Z"</formula>
    </cfRule>
  </conditionalFormatting>
  <conditionalFormatting sqref="E245">
    <cfRule type="cellIs" dxfId="11" priority="15" operator="between">
      <formula>1</formula>
      <formula>200</formula>
    </cfRule>
  </conditionalFormatting>
  <conditionalFormatting sqref="E248 G248 I248 K248 M248">
    <cfRule type="cellIs" dxfId="10" priority="14" operator="between">
      <formula>1</formula>
      <formula>130</formula>
    </cfRule>
  </conditionalFormatting>
  <conditionalFormatting sqref="E250 G250 I250 K250 M250 M252 M254 K254 K252 I252 I254 G254 G252 E252 E254">
    <cfRule type="cellIs" dxfId="9" priority="13" operator="between">
      <formula>"A"</formula>
      <formula>"Z"</formula>
    </cfRule>
  </conditionalFormatting>
  <conditionalFormatting sqref="E245">
    <cfRule type="cellIs" dxfId="8" priority="12" operator="between">
      <formula>1</formula>
      <formula>200</formula>
    </cfRule>
  </conditionalFormatting>
  <conditionalFormatting sqref="E248 G248 I248 K248 M248">
    <cfRule type="cellIs" dxfId="7" priority="11" operator="between">
      <formula>1</formula>
      <formula>130</formula>
    </cfRule>
  </conditionalFormatting>
  <conditionalFormatting sqref="E250 G250 I250 K250 M250 M252 M254 K254 K252 I252 I254 G254 G252 E252 E254">
    <cfRule type="cellIs" dxfId="6" priority="10" operator="between">
      <formula>"A"</formula>
      <formula>"Z"</formula>
    </cfRule>
  </conditionalFormatting>
  <conditionalFormatting sqref="E39">
    <cfRule type="uniqueValues" dxfId="5" priority="6"/>
  </conditionalFormatting>
  <conditionalFormatting sqref="M185:N185 K185 I185 G185 E185">
    <cfRule type="cellIs" dxfId="4" priority="5" operator="between">
      <formula>"A"</formula>
      <formula>"Z"</formula>
    </cfRule>
  </conditionalFormatting>
  <conditionalFormatting sqref="M202:N202 K202 I202 G202 E202">
    <cfRule type="cellIs" dxfId="3" priority="4" operator="between">
      <formula>"A"</formula>
      <formula>"Z"</formula>
    </cfRule>
  </conditionalFormatting>
  <conditionalFormatting sqref="M220:N220 K220 I220 G220 E220">
    <cfRule type="cellIs" dxfId="2" priority="3" operator="between">
      <formula>"A"</formula>
      <formula>"Z"</formula>
    </cfRule>
  </conditionalFormatting>
  <conditionalFormatting sqref="M238:N238 K238 I238 G238 E238">
    <cfRule type="cellIs" dxfId="1" priority="2" operator="between">
      <formula>"A"</formula>
      <formula>"Z"</formula>
    </cfRule>
  </conditionalFormatting>
  <conditionalFormatting sqref="M256:N256 K256 I256 G256 E256">
    <cfRule type="cellIs" dxfId="0" priority="1" operator="between">
      <formula>"A"</formula>
      <formula>"Z"</formula>
    </cfRule>
  </conditionalFormatting>
  <dataValidations count="1">
    <dataValidation type="list" allowBlank="1" showInputMessage="1" showErrorMessage="1" sqref="E14" xr:uid="{00000000-0002-0000-0000-000000000000}">
      <formula1>"Strasse 1, Strasse 2, Strasse 3, Strasse 4, Strasse 5, Strasse 6, Strasse 7, Strasse 8, Straße 9"</formula1>
    </dataValidation>
  </dataValidations>
  <pageMargins left="0.7" right="0.7" top="0.78740157499999996" bottom="0.78740157499999996" header="0.3" footer="0.3"/>
  <pageSetup paperSize="8"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peichern">
                <anchor moveWithCells="1" sizeWithCells="1">
                  <from>
                    <xdr:col>8</xdr:col>
                    <xdr:colOff>0</xdr:colOff>
                    <xdr:row>4</xdr:row>
                    <xdr:rowOff>9525</xdr:rowOff>
                  </from>
                  <to>
                    <xdr:col>9</xdr:col>
                    <xdr:colOff>9525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18" id="{ED3F1A63-4EA2-424D-855F-2262E7174DDF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59</xm:f>
              </x14:cfvo>
              <x14:cfIcon iconSet="3Symbols" iconId="0"/>
              <x14:cfIcon iconSet="3Symbols" iconId="0"/>
              <x14:cfIcon iconSet="3Symbols" iconId="2"/>
            </x14:iconSet>
          </x14:cfRule>
          <xm:sqref>E5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4">
        <x14:dataValidation type="list" allowBlank="1" showInputMessage="1" showErrorMessage="1" xr:uid="{00000000-0002-0000-0000-000001000000}">
          <x14:formula1>
            <xm:f>Auswahlmöglichkeiten!$F$3:$F$75</xm:f>
          </x14:formula1>
          <xm:sqref>E33:E34</xm:sqref>
        </x14:dataValidation>
        <x14:dataValidation type="list" allowBlank="1" showInputMessage="1" showErrorMessage="1" xr:uid="{00000000-0002-0000-0000-000002000000}">
          <x14:formula1>
            <xm:f>Auswahlmöglichkeiten!$E$3:$E$74</xm:f>
          </x14:formula1>
          <xm:sqref>E31</xm:sqref>
        </x14:dataValidation>
        <x14:dataValidation type="list" allowBlank="1" showInputMessage="1" showErrorMessage="1" xr:uid="{00000000-0002-0000-0000-000003000000}">
          <x14:formula1>
            <xm:f>Auswahlmöglichkeiten!$G$3:$G$11</xm:f>
          </x14:formula1>
          <xm:sqref>E37</xm:sqref>
        </x14:dataValidation>
        <x14:dataValidation type="list" allowBlank="1" showInputMessage="1" showErrorMessage="1" xr:uid="{00000000-0002-0000-0000-000004000000}">
          <x14:formula1>
            <xm:f>Auswahlmöglichkeiten!$J$3:$J$6</xm:f>
          </x14:formula1>
          <xm:sqref>E47</xm:sqref>
        </x14:dataValidation>
        <x14:dataValidation type="list" allowBlank="1" showInputMessage="1" showErrorMessage="1" xr:uid="{00000000-0002-0000-0000-000005000000}">
          <x14:formula1>
            <xm:f>Auswahlmöglichkeiten!$K$3:$K$13</xm:f>
          </x14:formula1>
          <xm:sqref>E49</xm:sqref>
        </x14:dataValidation>
        <x14:dataValidation type="list" allowBlank="1" showInputMessage="1" showErrorMessage="1" xr:uid="{00000000-0002-0000-0000-000006000000}">
          <x14:formula1>
            <xm:f>Auswahlmöglichkeiten!$L$3:$L$7</xm:f>
          </x14:formula1>
          <xm:sqref>E51</xm:sqref>
        </x14:dataValidation>
        <x14:dataValidation type="list" allowBlank="1" showInputMessage="1" showErrorMessage="1" xr:uid="{00000000-0002-0000-0000-000007000000}">
          <x14:formula1>
            <xm:f>Auswahlmöglichkeiten!$M$3:$M$11</xm:f>
          </x14:formula1>
          <xm:sqref>E61</xm:sqref>
        </x14:dataValidation>
        <x14:dataValidation type="list" allowBlank="1" showInputMessage="1" showErrorMessage="1" xr:uid="{00000000-0002-0000-0000-000008000000}">
          <x14:formula1>
            <xm:f>Auswahlmöglichkeiten!$N$3:$N$7</xm:f>
          </x14:formula1>
          <xm:sqref>E63</xm:sqref>
        </x14:dataValidation>
        <x14:dataValidation type="list" allowBlank="1" showInputMessage="1" showErrorMessage="1" xr:uid="{00000000-0002-0000-0000-000009000000}">
          <x14:formula1>
            <xm:f>Auswahlmöglichkeiten!$O$3:$O$9</xm:f>
          </x14:formula1>
          <xm:sqref>E67</xm:sqref>
        </x14:dataValidation>
        <x14:dataValidation type="list" allowBlank="1" showInputMessage="1" showErrorMessage="1" xr:uid="{00000000-0002-0000-0000-00000A000000}">
          <x14:formula1>
            <xm:f>Auswahlmöglichkeiten!$P$3:$P$6</xm:f>
          </x14:formula1>
          <xm:sqref>E69</xm:sqref>
        </x14:dataValidation>
        <x14:dataValidation type="list" allowBlank="1" showInputMessage="1" showErrorMessage="1" xr:uid="{00000000-0002-0000-0000-00000B000000}">
          <x14:formula1>
            <xm:f>Auswahlmöglichkeiten!$U$3:$U$7</xm:f>
          </x14:formula1>
          <xm:sqref>E79 G79 I79 K79</xm:sqref>
        </x14:dataValidation>
        <x14:dataValidation type="list" allowBlank="1" showInputMessage="1" showErrorMessage="1" xr:uid="{00000000-0002-0000-0000-00000C000000}">
          <x14:formula1>
            <xm:f>Auswahlmöglichkeiten!$S$3:$S$6</xm:f>
          </x14:formula1>
          <xm:sqref>E83 G83 K83</xm:sqref>
        </x14:dataValidation>
        <x14:dataValidation type="list" allowBlank="1" showInputMessage="1" showErrorMessage="1" xr:uid="{00000000-0002-0000-0000-00000D000000}">
          <x14:formula1>
            <xm:f>Auswahlmöglichkeiten!$V$3:$V$11</xm:f>
          </x14:formula1>
          <xm:sqref>G81 K81</xm:sqref>
        </x14:dataValidation>
        <x14:dataValidation type="list" allowBlank="1" showInputMessage="1" showErrorMessage="1" xr:uid="{00000000-0002-0000-0000-00000E000000}">
          <x14:formula1>
            <xm:f>Auswahlmöglichkeiten!$X$3:$X$6</xm:f>
          </x14:formula1>
          <xm:sqref>E85:E87 K85:K86 I85:I87 G85 E100:E101 I100:I101</xm:sqref>
        </x14:dataValidation>
        <x14:dataValidation type="list" allowBlank="1" showInputMessage="1" showErrorMessage="1" xr:uid="{00000000-0002-0000-0000-00000F000000}">
          <x14:formula1>
            <xm:f>Auswahlmöglichkeiten!$AC$3:$AC$6</xm:f>
          </x14:formula1>
          <xm:sqref>E114</xm:sqref>
        </x14:dataValidation>
        <x14:dataValidation type="list" allowBlank="1" showInputMessage="1" showErrorMessage="1" xr:uid="{00000000-0002-0000-0000-000010000000}">
          <x14:formula1>
            <xm:f>Auswahlmöglichkeiten!$AD$3:$AD$14</xm:f>
          </x14:formula1>
          <xm:sqref>E116</xm:sqref>
        </x14:dataValidation>
        <x14:dataValidation type="list" allowBlank="1" showInputMessage="1" showErrorMessage="1" xr:uid="{00000000-0002-0000-0000-000011000000}">
          <x14:formula1>
            <xm:f>Auswahlmöglichkeiten!$AE$3:$AE$13</xm:f>
          </x14:formula1>
          <xm:sqref>E118:E119</xm:sqref>
        </x14:dataValidation>
        <x14:dataValidation type="list" allowBlank="1" showInputMessage="1" showErrorMessage="1" xr:uid="{00000000-0002-0000-0000-000012000000}">
          <x14:formula1>
            <xm:f>Auswahlmöglichkeiten!$AF$3:$AF$6</xm:f>
          </x14:formula1>
          <xm:sqref>E122</xm:sqref>
        </x14:dataValidation>
        <x14:dataValidation type="list" allowBlank="1" showInputMessage="1" showErrorMessage="1" xr:uid="{00000000-0002-0000-0000-000013000000}">
          <x14:formula1>
            <xm:f>Auswahlmöglichkeiten!$AI$3:$AI$13</xm:f>
          </x14:formula1>
          <xm:sqref>E137</xm:sqref>
        </x14:dataValidation>
        <x14:dataValidation type="list" allowBlank="1" showInputMessage="1" showErrorMessage="1" xr:uid="{00000000-0002-0000-0000-000014000000}">
          <x14:formula1>
            <xm:f>Auswahlmöglichkeiten!$AH$3:$AH$14</xm:f>
          </x14:formula1>
          <xm:sqref>E135</xm:sqref>
        </x14:dataValidation>
        <x14:dataValidation type="list" allowBlank="1" showInputMessage="1" showErrorMessage="1" xr:uid="{00000000-0002-0000-0000-000015000000}">
          <x14:formula1>
            <xm:f>Auswahlmöglichkeiten!$AG$3:$AG$6</xm:f>
          </x14:formula1>
          <xm:sqref>E133</xm:sqref>
        </x14:dataValidation>
        <x14:dataValidation type="list" allowBlank="1" showInputMessage="1" showErrorMessage="1" xr:uid="{00000000-0002-0000-0000-000016000000}">
          <x14:formula1>
            <xm:f>Auswahlmöglichkeiten!$AJ$3:$AJ$6</xm:f>
          </x14:formula1>
          <xm:sqref>E139</xm:sqref>
        </x14:dataValidation>
        <x14:dataValidation type="list" allowBlank="1" showInputMessage="1" showErrorMessage="1" xr:uid="{00000000-0002-0000-0000-000017000000}">
          <x14:formula1>
            <xm:f>Auswahlmöglichkeiten!$AK$3:$AK$6</xm:f>
          </x14:formula1>
          <xm:sqref>E141</xm:sqref>
        </x14:dataValidation>
        <x14:dataValidation type="list" allowBlank="1" showInputMessage="1" showErrorMessage="1" xr:uid="{00000000-0002-0000-0000-000018000000}">
          <x14:formula1>
            <xm:f>Auswahlmöglichkeiten!$AL$3:$AL$6</xm:f>
          </x14:formula1>
          <xm:sqref>E143</xm:sqref>
        </x14:dataValidation>
        <x14:dataValidation type="list" allowBlank="1" showInputMessage="1" showErrorMessage="1" xr:uid="{00000000-0002-0000-0000-000019000000}">
          <x14:formula1>
            <xm:f>Auswahlmöglichkeiten!$AM$3:$AM$7</xm:f>
          </x14:formula1>
          <xm:sqref>E145:E146</xm:sqref>
        </x14:dataValidation>
        <x14:dataValidation type="list" allowBlank="1" showInputMessage="1" showErrorMessage="1" xr:uid="{00000000-0002-0000-0000-00001A000000}">
          <x14:formula1>
            <xm:f>Auswahlmöglichkeiten!$AN$3:$AN$26</xm:f>
          </x14:formula1>
          <xm:sqref>E155</xm:sqref>
        </x14:dataValidation>
        <x14:dataValidation type="list" allowBlank="1" showInputMessage="1" showErrorMessage="1" xr:uid="{00000000-0002-0000-0000-00001B000000}">
          <x14:formula1>
            <xm:f>Auswahlmöglichkeiten!$AO$3:$AO$14</xm:f>
          </x14:formula1>
          <xm:sqref>E157</xm:sqref>
        </x14:dataValidation>
        <x14:dataValidation type="list" allowBlank="1" showInputMessage="1" showErrorMessage="1" xr:uid="{00000000-0002-0000-0000-00001C000000}">
          <x14:formula1>
            <xm:f>Auswahlmöglichkeiten!$AP$3:$AP$13</xm:f>
          </x14:formula1>
          <xm:sqref>E161</xm:sqref>
        </x14:dataValidation>
        <x14:dataValidation type="list" allowBlank="1" showInputMessage="1" showErrorMessage="1" xr:uid="{00000000-0002-0000-0000-00001D000000}">
          <x14:formula1>
            <xm:f>Auswahlmöglichkeiten!$AQ$3:$AQ$13</xm:f>
          </x14:formula1>
          <xm:sqref>E163</xm:sqref>
        </x14:dataValidation>
        <x14:dataValidation type="list" allowBlank="1" showInputMessage="1" showErrorMessage="1" xr:uid="{00000000-0002-0000-0000-00001E000000}">
          <x14:formula1>
            <xm:f>Auswahlmöglichkeiten!$AR$3:$AR$13</xm:f>
          </x14:formula1>
          <xm:sqref>E165</xm:sqref>
        </x14:dataValidation>
        <x14:dataValidation type="list" allowBlank="1" showInputMessage="1" showErrorMessage="1" xr:uid="{00000000-0002-0000-0000-00001F000000}">
          <x14:formula1>
            <xm:f>Auswahlmöglichkeiten!$AS$3:$AS$13</xm:f>
          </x14:formula1>
          <xm:sqref>E167</xm:sqref>
        </x14:dataValidation>
        <x14:dataValidation type="list" allowBlank="1" showInputMessage="1" showErrorMessage="1" xr:uid="{00000000-0002-0000-0000-000020000000}">
          <x14:formula1>
            <xm:f>Auswahlmöglichkeiten!$AT$3:$AT$19</xm:f>
          </x14:formula1>
          <xm:sqref>E174 E191 E209 E227 E245</xm:sqref>
        </x14:dataValidation>
        <x14:dataValidation type="list" allowBlank="1" showInputMessage="1" showErrorMessage="1" xr:uid="{00000000-0002-0000-0000-000021000000}">
          <x14:formula1>
            <xm:f>Auswahlmöglichkeiten!$AU$3:$AU$125</xm:f>
          </x14:formula1>
          <xm:sqref>E177 G177 I177 K177 M177:N177 E194 G194 I194 K194 M194:N194 E212 G212 I212 K212 M212:N212 E230 G230 I230 K230 M230:N230 E248 G248 I248 K248 M248:N248</xm:sqref>
        </x14:dataValidation>
        <x14:dataValidation type="list" allowBlank="1" showInputMessage="1" showErrorMessage="1" xr:uid="{00000000-0002-0000-0000-000022000000}">
          <x14:formula1>
            <xm:f>Auswahlmöglichkeiten!$AV$3:$AV$11</xm:f>
          </x14:formula1>
          <xm:sqref>E179 G179 I179 K179 M179:N179 E196 G196 I196 K196 M196:N196 E214 G214 I214 K214 M214:N214 E232 G232 I232 K232 M232:N232 E250 G250 I250 K250 M250:N250</xm:sqref>
        </x14:dataValidation>
        <x14:dataValidation type="list" allowBlank="1" showInputMessage="1" showErrorMessage="1" xr:uid="{00000000-0002-0000-0000-000023000000}">
          <x14:formula1>
            <xm:f>Auswahlmöglichkeiten!$AW$3:$AW$11</xm:f>
          </x14:formula1>
          <xm:sqref>E181 G181 I181 K181 M181:N181 E198 G198 I198 K198 M198:N198 E216 G216 I216 K216 M216:N216 E234 G234 I234 K234 M234:N234 E252 G252 I252 K252 M252:N252</xm:sqref>
        </x14:dataValidation>
        <x14:dataValidation type="list" allowBlank="1" showInputMessage="1" showErrorMessage="1" xr:uid="{00000000-0002-0000-0000-000024000000}">
          <x14:formula1>
            <xm:f>Auswahlmöglichkeiten!$AX$3:$AX$9</xm:f>
          </x14:formula1>
          <xm:sqref>E183 G183 I183 K183 M183:N183 G200 I200 K200 M200:N200 N185 G218 I218 K218 M218:N218 N202 G236 I236 K236 M236:N236 N220 G254 I254 K254 M254:N254 N238 E200 E218 E236 E254 N256</xm:sqref>
        </x14:dataValidation>
        <x14:dataValidation type="list" allowBlank="1" showInputMessage="1" showErrorMessage="1" xr:uid="{00000000-0002-0000-0000-000025000000}">
          <x14:formula1>
            <xm:f>Auswahlmöglichkeiten!$D$3:$D$54</xm:f>
          </x14:formula1>
          <xm:sqref>E27</xm:sqref>
        </x14:dataValidation>
        <x14:dataValidation type="list" allowBlank="1" showInputMessage="1" showErrorMessage="1" xr:uid="{00000000-0002-0000-0000-000026000000}">
          <x14:formula1>
            <xm:f>Auswahlmöglichkeiten!$A$3:$A$31</xm:f>
          </x14:formula1>
          <xm:sqref>E17:E18</xm:sqref>
        </x14:dataValidation>
        <x14:dataValidation type="list" allowBlank="1" showInputMessage="1" showErrorMessage="1" xr:uid="{00000000-0002-0000-0000-000027000000}">
          <x14:formula1>
            <xm:f>Auswahlmöglichkeiten!$H$3:$H$16</xm:f>
          </x14:formula1>
          <xm:sqref>E39</xm:sqref>
        </x14:dataValidation>
        <x14:dataValidation type="list" allowBlank="1" showInputMessage="1" showErrorMessage="1" xr:uid="{00000000-0002-0000-0000-000028000000}">
          <x14:formula1>
            <xm:f>Auswahlmöglichkeiten!$Q$3:$Q$16</xm:f>
          </x14:formula1>
          <xm:sqref>E71:E73</xm:sqref>
        </x14:dataValidation>
        <x14:dataValidation type="list" allowBlank="1" showInputMessage="1" showErrorMessage="1" xr:uid="{00000000-0002-0000-0000-000029000000}">
          <x14:formula1>
            <xm:f>Auswahlmöglichkeiten!$AZ$3:$AZ$8</xm:f>
          </x14:formula1>
          <xm:sqref>K98 E98 I98</xm:sqref>
        </x14:dataValidation>
        <x14:dataValidation type="list" allowBlank="1" showInputMessage="1" xr:uid="{00000000-0002-0000-0000-00002A000000}">
          <x14:formula1>
            <xm:f>Auswahlmöglichkeiten!$AZ$3:$AZ$8</xm:f>
          </x14:formula1>
          <xm:sqref>G98</xm:sqref>
        </x14:dataValidation>
        <x14:dataValidation type="list" allowBlank="1" showInputMessage="1" showErrorMessage="1" xr:uid="{00000000-0002-0000-0000-00002B000000}">
          <x14:formula1>
            <xm:f>Auswahlmöglichkeiten!$D$3:$D$5</xm:f>
          </x14:formula1>
          <xm:sqref>E23 E25</xm:sqref>
        </x14:dataValidation>
        <x14:dataValidation type="list" allowBlank="1" showInputMessage="1" xr:uid="{00000000-0002-0000-0000-00002C000000}">
          <x14:formula1>
            <xm:f>Auswahlmöglichkeiten!$V$3:$V$11</xm:f>
          </x14:formula1>
          <xm:sqref>E81 I81</xm:sqref>
        </x14:dataValidation>
        <x14:dataValidation type="list" allowBlank="1" showInputMessage="1" xr:uid="{00000000-0002-0000-0000-00002D000000}">
          <x14:formula1>
            <xm:f>Auswahlmöglichkeiten!$S$3:$S$6</xm:f>
          </x14:formula1>
          <xm:sqref>I83</xm:sqref>
        </x14:dataValidation>
        <x14:dataValidation type="list" allowBlank="1" showInputMessage="1" showErrorMessage="1" xr:uid="{00000000-0002-0000-0000-00002E000000}">
          <x14:formula1>
            <xm:f>Auswahlmöglichkeiten!$I$3:$I$14</xm:f>
          </x14:formula1>
          <xm:sqref>E41 E131 E112 E45 E43</xm:sqref>
        </x14:dataValidation>
        <x14:dataValidation type="list" allowBlank="1" showInputMessage="1" showErrorMessage="1" xr:uid="{00000000-0002-0000-0000-00002F000000}">
          <x14:formula1>
            <xm:f>Auswahlmöglichkeiten!$Y$3:$Y$6</xm:f>
          </x14:formula1>
          <xm:sqref>E94 I94</xm:sqref>
        </x14:dataValidation>
        <x14:dataValidation type="list" allowBlank="1" showInputMessage="1" xr:uid="{00000000-0002-0000-0000-000030000000}">
          <x14:formula1>
            <xm:f>Auswahlmöglichkeiten!$Y$3:$Y$6</xm:f>
          </x14:formula1>
          <xm:sqref>K94 G94</xm:sqref>
        </x14:dataValidation>
        <x14:dataValidation type="list" allowBlank="1" showInputMessage="1" showErrorMessage="1" xr:uid="{00000000-0002-0000-0000-000031000000}">
          <x14:formula1>
            <xm:f>Auswahlmöglichkeiten!$Z$3:$Z$12</xm:f>
          </x14:formula1>
          <xm:sqref>E96 I96</xm:sqref>
        </x14:dataValidation>
        <x14:dataValidation type="list" allowBlank="1" showInputMessage="1" xr:uid="{00000000-0002-0000-0000-000032000000}">
          <x14:formula1>
            <xm:f>Auswahlmöglichkeiten!$Z$3:$Z$12</xm:f>
          </x14:formula1>
          <xm:sqref>K96 G96</xm:sqref>
        </x14:dataValidation>
        <x14:dataValidation type="list" allowBlank="1" showInputMessage="1" showErrorMessage="1" xr:uid="{00000000-0002-0000-0000-000033000000}">
          <x14:formula1>
            <xm:f>Auswahlmöglichkeiten!$C$3:$C$8</xm:f>
          </x14:formula1>
          <xm:sqref>E21</xm:sqref>
        </x14:dataValidation>
        <x14:dataValidation type="list" allowBlank="1" showInputMessage="1" showErrorMessage="1" xr:uid="{00000000-0002-0000-0000-000034000000}">
          <x14:formula1>
            <xm:f>Auswahlmöglichkeiten!$AY$3:$AY$10</xm:f>
          </x14:formula1>
          <xm:sqref>E185 G185 I185 K185 M185 E202 G202 I202 K202 M202 E220 G220 I220 K220 M220 E238 G238 I238 K238 M238 E256 G256 I256 K256 M256</xm:sqref>
        </x14:dataValidation>
        <x14:dataValidation type="list" allowBlank="1" showInputMessage="1" showErrorMessage="1" xr:uid="{00000000-0002-0000-0000-000035000000}">
          <x14:formula1>
            <xm:f>Auswahlmöglichkeiten!$B$3:$B$35</xm:f>
          </x14:formula1>
          <xm:sqref>E13</xm:sqref>
        </x14:dataValidation>
        <x14:dataValidation type="list" allowBlank="1" showInputMessage="1" showErrorMessage="1" xr:uid="{00000000-0002-0000-0000-000036000000}">
          <x14:formula1>
            <xm:f>Auswahlmöglichkeiten!R3:R7</xm:f>
          </x14:formula1>
          <xm:sqref>E65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2:AZ125"/>
  <sheetViews>
    <sheetView view="pageBreakPreview" zoomScale="85" zoomScaleNormal="10" zoomScaleSheetLayoutView="85" workbookViewId="0">
      <selection activeCell="A5" sqref="A5"/>
    </sheetView>
  </sheetViews>
  <sheetFormatPr baseColWidth="10" defaultRowHeight="15" x14ac:dyDescent="0.25"/>
  <cols>
    <col min="2" max="2" width="36.28515625" customWidth="1"/>
    <col min="3" max="3" width="28" customWidth="1"/>
    <col min="4" max="4" width="23" customWidth="1"/>
    <col min="7" max="7" width="31.140625" customWidth="1"/>
    <col min="8" max="8" width="18.140625" customWidth="1"/>
    <col min="9" max="9" width="30" customWidth="1"/>
    <col min="10" max="10" width="18.85546875" customWidth="1"/>
    <col min="11" max="11" width="16.5703125" customWidth="1"/>
    <col min="12" max="12" width="20.5703125" customWidth="1"/>
    <col min="13" max="13" width="17.5703125" customWidth="1"/>
    <col min="14" max="14" width="16" customWidth="1"/>
    <col min="15" max="15" width="22" customWidth="1"/>
    <col min="16" max="18" width="18.85546875" customWidth="1"/>
    <col min="19" max="20" width="20.5703125" customWidth="1"/>
    <col min="21" max="21" width="20.85546875" customWidth="1"/>
    <col min="22" max="22" width="20.7109375" customWidth="1"/>
    <col min="24" max="24" width="18.85546875" customWidth="1"/>
    <col min="25" max="25" width="17.42578125" customWidth="1"/>
    <col min="26" max="26" width="29.28515625" customWidth="1"/>
    <col min="27" max="27" width="17.42578125" customWidth="1"/>
    <col min="28" max="28" width="32.7109375" customWidth="1"/>
    <col min="29" max="29" width="23.28515625" customWidth="1"/>
    <col min="30" max="30" width="17.5703125" customWidth="1"/>
    <col min="31" max="31" width="23.85546875" customWidth="1"/>
    <col min="32" max="32" width="20" customWidth="1"/>
    <col min="33" max="33" width="26.7109375" customWidth="1"/>
    <col min="34" max="34" width="18.5703125" customWidth="1"/>
    <col min="35" max="35" width="26.28515625" customWidth="1"/>
    <col min="37" max="37" width="27.42578125" customWidth="1"/>
    <col min="38" max="38" width="19.42578125" customWidth="1"/>
    <col min="39" max="39" width="20.7109375" customWidth="1"/>
    <col min="40" max="40" width="20" customWidth="1"/>
    <col min="41" max="41" width="24.28515625" customWidth="1"/>
    <col min="42" max="42" width="20.28515625" customWidth="1"/>
    <col min="43" max="43" width="22" customWidth="1"/>
    <col min="44" max="44" width="25.85546875" customWidth="1"/>
    <col min="45" max="45" width="28.140625" customWidth="1"/>
    <col min="46" max="46" width="22.85546875" customWidth="1"/>
    <col min="47" max="47" width="18.7109375" customWidth="1"/>
    <col min="48" max="48" width="21.28515625" customWidth="1"/>
    <col min="49" max="49" width="35.85546875" customWidth="1"/>
    <col min="50" max="50" width="23.7109375" customWidth="1"/>
    <col min="51" max="51" width="11.42578125" style="125"/>
  </cols>
  <sheetData>
    <row r="2" spans="1:52" x14ac:dyDescent="0.25">
      <c r="A2" t="s">
        <v>223</v>
      </c>
      <c r="B2" s="1" t="s">
        <v>3</v>
      </c>
      <c r="C2" s="54" t="s">
        <v>5</v>
      </c>
      <c r="D2" s="12" t="s">
        <v>9</v>
      </c>
      <c r="E2" s="15" t="s">
        <v>12</v>
      </c>
      <c r="F2" s="12" t="s">
        <v>13</v>
      </c>
      <c r="G2" s="14" t="s">
        <v>199</v>
      </c>
      <c r="H2" s="18" t="s">
        <v>20</v>
      </c>
      <c r="I2" s="15" t="s">
        <v>22</v>
      </c>
      <c r="J2" s="15" t="s">
        <v>201</v>
      </c>
      <c r="K2" s="12" t="s">
        <v>32</v>
      </c>
      <c r="L2" s="12" t="s">
        <v>38</v>
      </c>
      <c r="M2" s="12" t="s">
        <v>42</v>
      </c>
      <c r="N2" s="12" t="s">
        <v>49</v>
      </c>
      <c r="O2" s="12" t="s">
        <v>54</v>
      </c>
      <c r="P2" s="14" t="s">
        <v>63</v>
      </c>
      <c r="Q2" s="12" t="s">
        <v>75</v>
      </c>
      <c r="R2" s="15" t="s">
        <v>65</v>
      </c>
      <c r="S2" s="42" t="s">
        <v>64</v>
      </c>
      <c r="T2" s="18" t="s">
        <v>75</v>
      </c>
      <c r="U2" s="15" t="s">
        <v>70</v>
      </c>
      <c r="V2" s="42" t="s">
        <v>71</v>
      </c>
      <c r="W2" s="12" t="s">
        <v>79</v>
      </c>
      <c r="X2" s="42" t="s">
        <v>213</v>
      </c>
      <c r="Y2" s="12" t="s">
        <v>82</v>
      </c>
      <c r="Z2" s="42" t="s">
        <v>215</v>
      </c>
      <c r="AA2" s="18" t="s">
        <v>83</v>
      </c>
      <c r="AB2" s="12" t="s">
        <v>216</v>
      </c>
      <c r="AC2" s="15" t="s">
        <v>93</v>
      </c>
      <c r="AD2" s="12" t="s">
        <v>95</v>
      </c>
      <c r="AE2" s="12" t="s">
        <v>106</v>
      </c>
      <c r="AF2" s="12" t="s">
        <v>117</v>
      </c>
      <c r="AG2" s="12" t="s">
        <v>217</v>
      </c>
      <c r="AH2" s="12" t="s">
        <v>95</v>
      </c>
      <c r="AI2" s="12" t="s">
        <v>119</v>
      </c>
      <c r="AJ2" s="12" t="s">
        <v>121</v>
      </c>
      <c r="AK2" s="12" t="s">
        <v>125</v>
      </c>
      <c r="AL2" s="12" t="s">
        <v>127</v>
      </c>
      <c r="AM2" s="14" t="s">
        <v>127</v>
      </c>
      <c r="AN2" s="12" t="s">
        <v>162</v>
      </c>
      <c r="AO2" s="15" t="s">
        <v>161</v>
      </c>
      <c r="AP2" s="12" t="s">
        <v>160</v>
      </c>
      <c r="AQ2" s="12" t="s">
        <v>163</v>
      </c>
      <c r="AR2" s="12" t="s">
        <v>165</v>
      </c>
      <c r="AS2" s="14" t="s">
        <v>164</v>
      </c>
      <c r="AT2" s="14" t="s">
        <v>166</v>
      </c>
      <c r="AU2" s="12" t="s">
        <v>167</v>
      </c>
      <c r="AV2" s="12" t="s">
        <v>173</v>
      </c>
      <c r="AW2" s="12" t="s">
        <v>180</v>
      </c>
      <c r="AX2" s="12" t="s">
        <v>188</v>
      </c>
      <c r="AY2" s="124" t="s">
        <v>451</v>
      </c>
      <c r="AZ2" s="19" t="s">
        <v>461</v>
      </c>
    </row>
    <row r="3" spans="1:52" x14ac:dyDescent="0.25">
      <c r="B3" s="4"/>
      <c r="C3" s="3"/>
      <c r="D3" s="55"/>
      <c r="E3" s="7"/>
      <c r="F3" s="4"/>
      <c r="G3" s="6"/>
      <c r="H3" s="10"/>
      <c r="I3" s="7"/>
      <c r="J3" s="7"/>
      <c r="K3" s="4"/>
      <c r="L3" s="4"/>
      <c r="M3" s="4"/>
      <c r="N3" s="4"/>
      <c r="O3" s="4"/>
      <c r="P3" s="6"/>
      <c r="Q3" s="4"/>
      <c r="R3" s="7"/>
      <c r="S3" s="3"/>
      <c r="T3" s="10"/>
      <c r="U3" s="7"/>
      <c r="V3" s="3"/>
      <c r="W3" s="4"/>
      <c r="X3" s="3"/>
      <c r="Y3" s="4"/>
      <c r="Z3" s="3"/>
      <c r="AA3" s="10"/>
      <c r="AB3" s="4"/>
      <c r="AC3" s="7"/>
      <c r="AD3" s="4"/>
      <c r="AE3" s="4"/>
      <c r="AF3" s="4"/>
      <c r="AG3" s="4"/>
      <c r="AH3" s="4"/>
      <c r="AI3" s="4"/>
      <c r="AJ3" s="4"/>
      <c r="AK3" s="4"/>
      <c r="AL3" s="4"/>
      <c r="AM3" s="6"/>
      <c r="AN3" s="4"/>
      <c r="AO3" s="7"/>
      <c r="AP3" s="4"/>
      <c r="AQ3" s="4"/>
      <c r="AR3" s="4"/>
      <c r="AS3" s="6"/>
      <c r="AT3" s="6"/>
      <c r="AU3" s="4"/>
      <c r="AV3" s="4"/>
      <c r="AW3" s="4"/>
      <c r="AX3" s="4"/>
    </row>
    <row r="4" spans="1:52" x14ac:dyDescent="0.25">
      <c r="A4" t="s">
        <v>250</v>
      </c>
      <c r="B4" s="4" t="s">
        <v>492</v>
      </c>
      <c r="C4" s="3" t="s">
        <v>4</v>
      </c>
      <c r="D4" s="10">
        <v>0</v>
      </c>
      <c r="E4" s="16">
        <v>1</v>
      </c>
      <c r="F4" s="41">
        <v>0</v>
      </c>
      <c r="G4" s="6" t="s">
        <v>14</v>
      </c>
      <c r="H4" s="13">
        <v>0</v>
      </c>
      <c r="I4" s="7" t="s">
        <v>265</v>
      </c>
      <c r="J4" s="7" t="s">
        <v>202</v>
      </c>
      <c r="K4" s="4" t="s">
        <v>33</v>
      </c>
      <c r="L4" s="19" t="s">
        <v>39</v>
      </c>
      <c r="M4" s="19" t="s">
        <v>43</v>
      </c>
      <c r="N4" s="19" t="s">
        <v>450</v>
      </c>
      <c r="O4" s="19" t="s">
        <v>209</v>
      </c>
      <c r="P4" s="20" t="s">
        <v>60</v>
      </c>
      <c r="Q4" s="10">
        <v>0</v>
      </c>
      <c r="R4" s="21" t="s">
        <v>206</v>
      </c>
      <c r="S4" s="39" t="s">
        <v>60</v>
      </c>
      <c r="T4" s="10">
        <v>0</v>
      </c>
      <c r="U4" s="21" t="s">
        <v>206</v>
      </c>
      <c r="V4" s="39" t="s">
        <v>72</v>
      </c>
      <c r="W4" s="48" t="s">
        <v>522</v>
      </c>
      <c r="X4" s="50" t="s">
        <v>60</v>
      </c>
      <c r="Y4" s="19" t="s">
        <v>206</v>
      </c>
      <c r="Z4" s="39" t="s">
        <v>84</v>
      </c>
      <c r="AA4" s="10">
        <v>0</v>
      </c>
      <c r="AB4" s="10">
        <v>0</v>
      </c>
      <c r="AC4" s="21" t="s">
        <v>91</v>
      </c>
      <c r="AD4" s="19" t="s">
        <v>96</v>
      </c>
      <c r="AE4" s="19" t="s">
        <v>107</v>
      </c>
      <c r="AF4" s="19" t="s">
        <v>60</v>
      </c>
      <c r="AG4" s="19" t="s">
        <v>91</v>
      </c>
      <c r="AH4" s="19" t="s">
        <v>96</v>
      </c>
      <c r="AI4" s="19" t="s">
        <v>107</v>
      </c>
      <c r="AJ4" s="19" t="s">
        <v>122</v>
      </c>
      <c r="AK4" s="19" t="s">
        <v>60</v>
      </c>
      <c r="AL4" s="19" t="s">
        <v>128</v>
      </c>
      <c r="AM4" s="20" t="s">
        <v>131</v>
      </c>
      <c r="AN4" s="10">
        <v>1</v>
      </c>
      <c r="AO4" s="21" t="s">
        <v>150</v>
      </c>
      <c r="AP4" s="4" t="s">
        <v>23</v>
      </c>
      <c r="AQ4" s="4" t="s">
        <v>23</v>
      </c>
      <c r="AR4" s="4" t="s">
        <v>23</v>
      </c>
      <c r="AS4" s="6" t="s">
        <v>23</v>
      </c>
      <c r="AT4" s="9">
        <v>0</v>
      </c>
      <c r="AU4" s="10">
        <v>0</v>
      </c>
      <c r="AV4" s="19" t="s">
        <v>174</v>
      </c>
      <c r="AW4" s="19" t="s">
        <v>181</v>
      </c>
      <c r="AX4" s="19" t="s">
        <v>189</v>
      </c>
      <c r="AY4" s="126" t="s">
        <v>452</v>
      </c>
      <c r="AZ4" s="10">
        <v>0</v>
      </c>
    </row>
    <row r="5" spans="1:52" x14ac:dyDescent="0.25">
      <c r="A5" t="s">
        <v>224</v>
      </c>
      <c r="B5" s="4" t="s">
        <v>475</v>
      </c>
      <c r="C5" s="3" t="s">
        <v>7</v>
      </c>
      <c r="D5" s="10">
        <v>1</v>
      </c>
      <c r="E5" s="16">
        <v>2</v>
      </c>
      <c r="F5" s="13">
        <v>1</v>
      </c>
      <c r="G5" s="6" t="s">
        <v>15</v>
      </c>
      <c r="H5" s="48" t="s">
        <v>522</v>
      </c>
      <c r="I5" t="s">
        <v>266</v>
      </c>
      <c r="J5" s="7" t="s">
        <v>203</v>
      </c>
      <c r="K5" s="4" t="s">
        <v>34</v>
      </c>
      <c r="L5" s="19" t="s">
        <v>218</v>
      </c>
      <c r="M5" s="19" t="s">
        <v>44</v>
      </c>
      <c r="N5" s="19" t="s">
        <v>50</v>
      </c>
      <c r="O5" s="19" t="s">
        <v>56</v>
      </c>
      <c r="P5" s="20" t="s">
        <v>61</v>
      </c>
      <c r="Q5" s="48" t="s">
        <v>522</v>
      </c>
      <c r="R5" s="21" t="s">
        <v>207</v>
      </c>
      <c r="S5" s="39" t="s">
        <v>61</v>
      </c>
      <c r="T5" s="48" t="s">
        <v>522</v>
      </c>
      <c r="U5" s="21" t="s">
        <v>207</v>
      </c>
      <c r="V5" s="39" t="s">
        <v>73</v>
      </c>
      <c r="W5" s="48" t="s">
        <v>523</v>
      </c>
      <c r="X5" s="50" t="s">
        <v>61</v>
      </c>
      <c r="Y5" s="19" t="s">
        <v>208</v>
      </c>
      <c r="Z5" s="39" t="s">
        <v>85</v>
      </c>
      <c r="AA5" s="48" t="s">
        <v>522</v>
      </c>
      <c r="AB5" s="48" t="s">
        <v>522</v>
      </c>
      <c r="AC5" s="21" t="s">
        <v>92</v>
      </c>
      <c r="AD5" s="19" t="s">
        <v>97</v>
      </c>
      <c r="AE5" s="19" t="s">
        <v>108</v>
      </c>
      <c r="AF5" s="19" t="s">
        <v>61</v>
      </c>
      <c r="AG5" s="19" t="s">
        <v>92</v>
      </c>
      <c r="AH5" s="19" t="s">
        <v>97</v>
      </c>
      <c r="AI5" s="19" t="s">
        <v>108</v>
      </c>
      <c r="AJ5" s="19" t="s">
        <v>123</v>
      </c>
      <c r="AK5" s="19" t="s">
        <v>61</v>
      </c>
      <c r="AL5" s="19" t="s">
        <v>129</v>
      </c>
      <c r="AM5" s="20" t="s">
        <v>132</v>
      </c>
      <c r="AN5" s="10">
        <v>2</v>
      </c>
      <c r="AO5" s="21" t="s">
        <v>151</v>
      </c>
      <c r="AP5" s="4" t="s">
        <v>24</v>
      </c>
      <c r="AQ5" s="4" t="s">
        <v>24</v>
      </c>
      <c r="AR5" s="4" t="s">
        <v>24</v>
      </c>
      <c r="AS5" s="6" t="s">
        <v>24</v>
      </c>
      <c r="AT5" s="9">
        <v>1</v>
      </c>
      <c r="AU5" s="10">
        <v>1</v>
      </c>
      <c r="AV5" s="19" t="s">
        <v>175</v>
      </c>
      <c r="AW5" s="19" t="s">
        <v>182</v>
      </c>
      <c r="AX5" s="19" t="s">
        <v>190</v>
      </c>
      <c r="AY5" s="123" t="s">
        <v>453</v>
      </c>
      <c r="AZ5" s="48" t="s">
        <v>459</v>
      </c>
    </row>
    <row r="6" spans="1:52" x14ac:dyDescent="0.25">
      <c r="A6" t="s">
        <v>225</v>
      </c>
      <c r="B6" s="4" t="s">
        <v>477</v>
      </c>
      <c r="C6" s="3" t="s">
        <v>6</v>
      </c>
      <c r="D6" s="10">
        <v>2</v>
      </c>
      <c r="E6" s="16">
        <v>3</v>
      </c>
      <c r="F6" s="13">
        <v>2</v>
      </c>
      <c r="G6" s="6" t="s">
        <v>16</v>
      </c>
      <c r="H6" s="48" t="s">
        <v>523</v>
      </c>
      <c r="I6" s="7" t="s">
        <v>24</v>
      </c>
      <c r="J6" s="7" t="s">
        <v>8</v>
      </c>
      <c r="K6" s="4" t="s">
        <v>35</v>
      </c>
      <c r="L6" s="19" t="s">
        <v>40</v>
      </c>
      <c r="M6" s="19" t="s">
        <v>45</v>
      </c>
      <c r="N6" s="19" t="s">
        <v>51</v>
      </c>
      <c r="O6" s="19" t="s">
        <v>57</v>
      </c>
      <c r="P6" s="11" t="s">
        <v>8</v>
      </c>
      <c r="Q6" s="48" t="s">
        <v>523</v>
      </c>
      <c r="R6" s="21" t="s">
        <v>208</v>
      </c>
      <c r="S6" s="43" t="s">
        <v>8</v>
      </c>
      <c r="T6" s="48" t="s">
        <v>523</v>
      </c>
      <c r="U6" s="21" t="s">
        <v>208</v>
      </c>
      <c r="V6" s="39" t="s">
        <v>74</v>
      </c>
      <c r="W6" s="49" t="s">
        <v>524</v>
      </c>
      <c r="X6" s="50" t="s">
        <v>8</v>
      </c>
      <c r="Y6" s="5" t="s">
        <v>8</v>
      </c>
      <c r="Z6" s="39" t="s">
        <v>140</v>
      </c>
      <c r="AA6" s="48" t="s">
        <v>523</v>
      </c>
      <c r="AB6" s="48" t="s">
        <v>523</v>
      </c>
      <c r="AC6" s="21" t="s">
        <v>8</v>
      </c>
      <c r="AD6" s="19" t="s">
        <v>98</v>
      </c>
      <c r="AE6" s="19" t="s">
        <v>109</v>
      </c>
      <c r="AF6" s="5" t="s">
        <v>8</v>
      </c>
      <c r="AG6" s="5" t="s">
        <v>8</v>
      </c>
      <c r="AH6" s="19" t="s">
        <v>98</v>
      </c>
      <c r="AI6" s="19" t="s">
        <v>109</v>
      </c>
      <c r="AJ6" s="5" t="s">
        <v>8</v>
      </c>
      <c r="AK6" s="5" t="s">
        <v>8</v>
      </c>
      <c r="AL6" s="5" t="s">
        <v>8</v>
      </c>
      <c r="AM6" s="20" t="s">
        <v>133</v>
      </c>
      <c r="AN6" s="10">
        <v>3</v>
      </c>
      <c r="AO6" s="21" t="s">
        <v>152</v>
      </c>
      <c r="AP6" s="4" t="s">
        <v>25</v>
      </c>
      <c r="AQ6" s="4" t="s">
        <v>25</v>
      </c>
      <c r="AR6" s="4" t="s">
        <v>25</v>
      </c>
      <c r="AS6" s="6" t="s">
        <v>25</v>
      </c>
      <c r="AT6" s="9">
        <v>2</v>
      </c>
      <c r="AU6" s="10">
        <v>2</v>
      </c>
      <c r="AV6" s="19" t="s">
        <v>177</v>
      </c>
      <c r="AW6" s="19" t="s">
        <v>183</v>
      </c>
      <c r="AX6" s="19" t="s">
        <v>193</v>
      </c>
      <c r="AY6" s="126" t="s">
        <v>454</v>
      </c>
      <c r="AZ6" s="48" t="s">
        <v>460</v>
      </c>
    </row>
    <row r="7" spans="1:52" x14ac:dyDescent="0.25">
      <c r="A7" t="s">
        <v>226</v>
      </c>
      <c r="B7" s="4" t="s">
        <v>481</v>
      </c>
      <c r="C7" s="39" t="s">
        <v>449</v>
      </c>
      <c r="D7" s="10">
        <v>3</v>
      </c>
      <c r="E7" s="13">
        <v>4</v>
      </c>
      <c r="F7" s="13">
        <v>3</v>
      </c>
      <c r="G7" s="6" t="s">
        <v>532</v>
      </c>
      <c r="H7" s="49" t="s">
        <v>524</v>
      </c>
      <c r="I7" s="7" t="s">
        <v>25</v>
      </c>
      <c r="J7" s="7"/>
      <c r="K7" s="4" t="s">
        <v>138</v>
      </c>
      <c r="L7" s="5" t="s">
        <v>8</v>
      </c>
      <c r="M7" s="19" t="s">
        <v>46</v>
      </c>
      <c r="N7" s="5" t="s">
        <v>8</v>
      </c>
      <c r="O7" s="19" t="s">
        <v>210</v>
      </c>
      <c r="Q7" s="49" t="s">
        <v>524</v>
      </c>
      <c r="R7" s="22" t="s">
        <v>8</v>
      </c>
      <c r="T7" s="49" t="s">
        <v>524</v>
      </c>
      <c r="U7" s="21" t="s">
        <v>8</v>
      </c>
      <c r="V7" s="39" t="s">
        <v>78</v>
      </c>
      <c r="W7" s="49" t="s">
        <v>525</v>
      </c>
      <c r="X7" s="50"/>
      <c r="Z7" s="39" t="s">
        <v>86</v>
      </c>
      <c r="AA7" s="49" t="s">
        <v>524</v>
      </c>
      <c r="AB7" s="49" t="s">
        <v>524</v>
      </c>
      <c r="AC7" s="21"/>
      <c r="AD7" s="19" t="s">
        <v>99</v>
      </c>
      <c r="AE7" s="19" t="s">
        <v>110</v>
      </c>
      <c r="AH7" s="19" t="s">
        <v>99</v>
      </c>
      <c r="AI7" s="19" t="s">
        <v>110</v>
      </c>
      <c r="AM7" s="11" t="s">
        <v>8</v>
      </c>
      <c r="AN7" s="10">
        <v>4</v>
      </c>
      <c r="AO7" s="21" t="s">
        <v>153</v>
      </c>
      <c r="AP7" s="4" t="s">
        <v>26</v>
      </c>
      <c r="AQ7" s="4" t="s">
        <v>26</v>
      </c>
      <c r="AR7" s="4" t="s">
        <v>26</v>
      </c>
      <c r="AS7" s="6" t="s">
        <v>26</v>
      </c>
      <c r="AT7" s="9">
        <v>3</v>
      </c>
      <c r="AU7" s="10">
        <v>3</v>
      </c>
      <c r="AV7" s="19" t="s">
        <v>176</v>
      </c>
      <c r="AW7" s="19" t="s">
        <v>184</v>
      </c>
      <c r="AX7" s="19" t="s">
        <v>191</v>
      </c>
      <c r="AY7" s="126" t="s">
        <v>455</v>
      </c>
      <c r="AZ7" s="48" t="s">
        <v>462</v>
      </c>
    </row>
    <row r="8" spans="1:52" x14ac:dyDescent="0.25">
      <c r="A8" t="s">
        <v>228</v>
      </c>
      <c r="B8" s="4" t="s">
        <v>476</v>
      </c>
      <c r="C8" s="43" t="s">
        <v>8</v>
      </c>
      <c r="D8" s="10">
        <v>4</v>
      </c>
      <c r="E8" s="13">
        <v>5</v>
      </c>
      <c r="F8" s="13">
        <v>4</v>
      </c>
      <c r="G8" s="6" t="s">
        <v>17</v>
      </c>
      <c r="H8" s="49" t="s">
        <v>525</v>
      </c>
      <c r="I8" s="7" t="s">
        <v>26</v>
      </c>
      <c r="J8" s="7"/>
      <c r="K8" s="4" t="s">
        <v>36</v>
      </c>
      <c r="M8" s="19" t="s">
        <v>205</v>
      </c>
      <c r="O8" s="19" t="s">
        <v>58</v>
      </c>
      <c r="Q8" s="49" t="s">
        <v>525</v>
      </c>
      <c r="T8" s="49" t="s">
        <v>525</v>
      </c>
      <c r="U8" s="8"/>
      <c r="V8" s="39" t="s">
        <v>56</v>
      </c>
      <c r="W8" s="49" t="s">
        <v>526</v>
      </c>
      <c r="X8" s="50"/>
      <c r="Z8" s="20" t="s">
        <v>214</v>
      </c>
      <c r="AA8" s="49" t="s">
        <v>525</v>
      </c>
      <c r="AB8" s="49" t="s">
        <v>525</v>
      </c>
      <c r="AC8" s="8"/>
      <c r="AD8" s="19" t="s">
        <v>104</v>
      </c>
      <c r="AE8" s="19" t="s">
        <v>111</v>
      </c>
      <c r="AH8" s="19" t="s">
        <v>104</v>
      </c>
      <c r="AI8" s="19" t="s">
        <v>111</v>
      </c>
      <c r="AN8" s="10">
        <v>5</v>
      </c>
      <c r="AO8" s="21" t="s">
        <v>154</v>
      </c>
      <c r="AP8" s="4" t="s">
        <v>27</v>
      </c>
      <c r="AQ8" s="4" t="s">
        <v>27</v>
      </c>
      <c r="AR8" s="4" t="s">
        <v>27</v>
      </c>
      <c r="AS8" s="6" t="s">
        <v>27</v>
      </c>
      <c r="AT8" s="9">
        <v>4</v>
      </c>
      <c r="AU8" s="10">
        <v>4</v>
      </c>
      <c r="AV8" s="19" t="s">
        <v>178</v>
      </c>
      <c r="AW8" s="19" t="s">
        <v>185</v>
      </c>
      <c r="AX8" s="19" t="s">
        <v>192</v>
      </c>
      <c r="AY8" s="126" t="s">
        <v>456</v>
      </c>
      <c r="AZ8" s="48" t="s">
        <v>8</v>
      </c>
    </row>
    <row r="9" spans="1:52" x14ac:dyDescent="0.25">
      <c r="A9" t="s">
        <v>229</v>
      </c>
      <c r="B9" s="4" t="s">
        <v>484</v>
      </c>
      <c r="D9" s="10">
        <v>5</v>
      </c>
      <c r="E9" s="13">
        <v>6</v>
      </c>
      <c r="F9" s="13">
        <v>5</v>
      </c>
      <c r="G9" s="6" t="s">
        <v>18</v>
      </c>
      <c r="H9" s="49" t="s">
        <v>526</v>
      </c>
      <c r="I9" s="7" t="s">
        <v>27</v>
      </c>
      <c r="J9" s="7"/>
      <c r="K9" s="4" t="s">
        <v>8</v>
      </c>
      <c r="M9" s="19" t="s">
        <v>204</v>
      </c>
      <c r="O9" s="5" t="s">
        <v>8</v>
      </c>
      <c r="Q9" s="49" t="s">
        <v>526</v>
      </c>
      <c r="T9" s="49" t="s">
        <v>526</v>
      </c>
      <c r="V9" s="20" t="s">
        <v>211</v>
      </c>
      <c r="W9" s="49" t="s">
        <v>527</v>
      </c>
      <c r="X9" s="50"/>
      <c r="Z9" s="20" t="s">
        <v>268</v>
      </c>
      <c r="AA9" s="49" t="s">
        <v>526</v>
      </c>
      <c r="AB9" s="49" t="s">
        <v>526</v>
      </c>
      <c r="AD9" s="19" t="s">
        <v>100</v>
      </c>
      <c r="AE9" s="19" t="s">
        <v>112</v>
      </c>
      <c r="AH9" s="19" t="s">
        <v>100</v>
      </c>
      <c r="AI9" s="19" t="s">
        <v>112</v>
      </c>
      <c r="AN9" s="10">
        <v>6</v>
      </c>
      <c r="AO9" s="21" t="s">
        <v>155</v>
      </c>
      <c r="AP9" s="4" t="s">
        <v>28</v>
      </c>
      <c r="AQ9" s="4" t="s">
        <v>28</v>
      </c>
      <c r="AR9" s="4" t="s">
        <v>28</v>
      </c>
      <c r="AS9" s="6" t="s">
        <v>28</v>
      </c>
      <c r="AT9" s="9">
        <v>5</v>
      </c>
      <c r="AU9" s="10">
        <v>5</v>
      </c>
      <c r="AV9" s="19" t="s">
        <v>219</v>
      </c>
      <c r="AW9" s="19" t="s">
        <v>186</v>
      </c>
      <c r="AX9" s="5" t="s">
        <v>8</v>
      </c>
      <c r="AY9" s="126" t="s">
        <v>457</v>
      </c>
      <c r="AZ9" s="48"/>
    </row>
    <row r="10" spans="1:52" x14ac:dyDescent="0.25">
      <c r="A10" t="s">
        <v>230</v>
      </c>
      <c r="B10" s="4" t="s">
        <v>479</v>
      </c>
      <c r="D10" s="10">
        <v>6</v>
      </c>
      <c r="E10" s="13">
        <v>7</v>
      </c>
      <c r="F10" s="13">
        <v>6</v>
      </c>
      <c r="G10" s="6" t="s">
        <v>19</v>
      </c>
      <c r="H10" s="49" t="s">
        <v>527</v>
      </c>
      <c r="I10" s="7" t="s">
        <v>28</v>
      </c>
      <c r="J10" s="7"/>
      <c r="K10" s="4"/>
      <c r="M10" s="19" t="s">
        <v>36</v>
      </c>
      <c r="Q10" s="49" t="s">
        <v>527</v>
      </c>
      <c r="T10" s="49" t="s">
        <v>527</v>
      </c>
      <c r="V10" s="20" t="s">
        <v>212</v>
      </c>
      <c r="W10" s="49" t="s">
        <v>528</v>
      </c>
      <c r="X10" s="50"/>
      <c r="Z10" s="109" t="s">
        <v>267</v>
      </c>
      <c r="AA10" s="49" t="s">
        <v>527</v>
      </c>
      <c r="AB10" s="49" t="s">
        <v>527</v>
      </c>
      <c r="AD10" s="19" t="s">
        <v>103</v>
      </c>
      <c r="AE10" s="19" t="s">
        <v>113</v>
      </c>
      <c r="AH10" s="19" t="s">
        <v>103</v>
      </c>
      <c r="AI10" s="19" t="s">
        <v>113</v>
      </c>
      <c r="AN10" s="10">
        <v>7</v>
      </c>
      <c r="AO10" s="21" t="s">
        <v>156</v>
      </c>
      <c r="AP10" s="4" t="s">
        <v>29</v>
      </c>
      <c r="AQ10" s="4" t="s">
        <v>29</v>
      </c>
      <c r="AR10" s="4" t="s">
        <v>29</v>
      </c>
      <c r="AS10" s="6" t="s">
        <v>29</v>
      </c>
      <c r="AT10" s="9">
        <v>6</v>
      </c>
      <c r="AU10" s="10">
        <v>6</v>
      </c>
      <c r="AV10" s="19" t="s">
        <v>179</v>
      </c>
      <c r="AW10" s="19" t="s">
        <v>220</v>
      </c>
      <c r="AY10" s="126" t="s">
        <v>458</v>
      </c>
      <c r="AZ10" s="48"/>
    </row>
    <row r="11" spans="1:52" x14ac:dyDescent="0.25">
      <c r="A11" t="s">
        <v>231</v>
      </c>
      <c r="B11" s="4" t="s">
        <v>480</v>
      </c>
      <c r="D11" s="10">
        <v>7</v>
      </c>
      <c r="E11" s="13">
        <v>8</v>
      </c>
      <c r="F11" s="13">
        <v>7</v>
      </c>
      <c r="G11" s="17" t="s">
        <v>8</v>
      </c>
      <c r="H11" s="49" t="s">
        <v>528</v>
      </c>
      <c r="I11" s="7" t="s">
        <v>29</v>
      </c>
      <c r="J11" s="7"/>
      <c r="K11" s="4"/>
      <c r="M11" s="5" t="s">
        <v>8</v>
      </c>
      <c r="Q11" s="49" t="s">
        <v>528</v>
      </c>
      <c r="T11" s="49" t="s">
        <v>528</v>
      </c>
      <c r="V11" s="11" t="s">
        <v>58</v>
      </c>
      <c r="W11" s="49" t="s">
        <v>529</v>
      </c>
      <c r="X11" s="50"/>
      <c r="Z11" s="20" t="s">
        <v>36</v>
      </c>
      <c r="AA11" s="49" t="s">
        <v>528</v>
      </c>
      <c r="AB11" s="49" t="s">
        <v>528</v>
      </c>
      <c r="AD11" s="19" t="s">
        <v>101</v>
      </c>
      <c r="AE11" s="19" t="s">
        <v>114</v>
      </c>
      <c r="AH11" s="19" t="s">
        <v>101</v>
      </c>
      <c r="AI11" s="19" t="s">
        <v>114</v>
      </c>
      <c r="AN11" s="10">
        <v>8</v>
      </c>
      <c r="AO11" s="21" t="s">
        <v>157</v>
      </c>
      <c r="AP11" s="4" t="s">
        <v>30</v>
      </c>
      <c r="AQ11" s="4" t="s">
        <v>30</v>
      </c>
      <c r="AR11" s="4" t="s">
        <v>30</v>
      </c>
      <c r="AS11" s="6" t="s">
        <v>30</v>
      </c>
      <c r="AT11" s="9">
        <v>7</v>
      </c>
      <c r="AU11" s="10">
        <v>7</v>
      </c>
      <c r="AV11" s="5" t="s">
        <v>8</v>
      </c>
      <c r="AW11" s="5" t="s">
        <v>8</v>
      </c>
      <c r="AY11" s="126"/>
    </row>
    <row r="12" spans="1:52" x14ac:dyDescent="0.25">
      <c r="A12" t="s">
        <v>232</v>
      </c>
      <c r="B12" s="4" t="s">
        <v>473</v>
      </c>
      <c r="D12" s="10">
        <v>8</v>
      </c>
      <c r="E12" s="13">
        <v>9</v>
      </c>
      <c r="F12" s="13">
        <v>8</v>
      </c>
      <c r="H12" s="49" t="s">
        <v>529</v>
      </c>
      <c r="I12" s="7" t="s">
        <v>30</v>
      </c>
      <c r="J12" s="7"/>
      <c r="K12" s="4"/>
      <c r="Q12" s="49" t="s">
        <v>529</v>
      </c>
      <c r="T12" s="49" t="s">
        <v>529</v>
      </c>
      <c r="W12" s="49" t="s">
        <v>530</v>
      </c>
      <c r="X12" s="50"/>
      <c r="Z12" s="11" t="s">
        <v>8</v>
      </c>
      <c r="AA12" s="49" t="s">
        <v>529</v>
      </c>
      <c r="AB12" s="49" t="s">
        <v>529</v>
      </c>
      <c r="AD12" s="19" t="s">
        <v>102</v>
      </c>
      <c r="AE12" s="19" t="s">
        <v>115</v>
      </c>
      <c r="AH12" s="19" t="s">
        <v>102</v>
      </c>
      <c r="AI12" s="19" t="s">
        <v>115</v>
      </c>
      <c r="AN12" s="10">
        <v>9</v>
      </c>
      <c r="AO12" s="21" t="s">
        <v>158</v>
      </c>
      <c r="AP12" s="4" t="s">
        <v>31</v>
      </c>
      <c r="AQ12" s="4" t="s">
        <v>31</v>
      </c>
      <c r="AR12" s="4" t="s">
        <v>31</v>
      </c>
      <c r="AS12" s="6" t="s">
        <v>31</v>
      </c>
      <c r="AT12" s="9">
        <v>8</v>
      </c>
      <c r="AU12" s="10">
        <v>8</v>
      </c>
      <c r="AY12" s="126"/>
    </row>
    <row r="13" spans="1:52" x14ac:dyDescent="0.25">
      <c r="A13" t="s">
        <v>233</v>
      </c>
      <c r="B13" s="4" t="s">
        <v>486</v>
      </c>
      <c r="D13" s="10">
        <v>9</v>
      </c>
      <c r="E13" s="13">
        <v>10</v>
      </c>
      <c r="F13" s="13">
        <v>9</v>
      </c>
      <c r="H13" s="49" t="s">
        <v>530</v>
      </c>
      <c r="I13" s="7" t="s">
        <v>31</v>
      </c>
      <c r="J13" s="8"/>
      <c r="K13" s="2"/>
      <c r="Q13" s="49" t="s">
        <v>530</v>
      </c>
      <c r="T13" s="49" t="s">
        <v>530</v>
      </c>
      <c r="W13" s="10" t="s">
        <v>531</v>
      </c>
      <c r="X13" s="50"/>
      <c r="AA13" s="49" t="s">
        <v>530</v>
      </c>
      <c r="AB13" s="49" t="s">
        <v>530</v>
      </c>
      <c r="AD13" s="19" t="s">
        <v>36</v>
      </c>
      <c r="AE13" s="5" t="s">
        <v>8</v>
      </c>
      <c r="AH13" s="19" t="s">
        <v>36</v>
      </c>
      <c r="AI13" s="5" t="s">
        <v>8</v>
      </c>
      <c r="AN13" s="10">
        <v>10</v>
      </c>
      <c r="AO13" s="21" t="s">
        <v>159</v>
      </c>
      <c r="AP13" s="2" t="s">
        <v>8</v>
      </c>
      <c r="AQ13" s="2" t="s">
        <v>8</v>
      </c>
      <c r="AR13" s="2" t="s">
        <v>8</v>
      </c>
      <c r="AS13" s="17" t="s">
        <v>8</v>
      </c>
      <c r="AT13" s="9">
        <v>9</v>
      </c>
      <c r="AU13" s="10">
        <v>9</v>
      </c>
      <c r="AY13" s="126"/>
    </row>
    <row r="14" spans="1:52" x14ac:dyDescent="0.25">
      <c r="A14" t="s">
        <v>234</v>
      </c>
      <c r="B14" s="4" t="s">
        <v>490</v>
      </c>
      <c r="D14" s="10">
        <v>10</v>
      </c>
      <c r="E14" s="13">
        <v>11</v>
      </c>
      <c r="F14" s="13">
        <v>10</v>
      </c>
      <c r="H14" s="10" t="s">
        <v>531</v>
      </c>
      <c r="I14" s="8" t="s">
        <v>8</v>
      </c>
      <c r="Q14" s="10" t="s">
        <v>531</v>
      </c>
      <c r="T14" s="10" t="s">
        <v>531</v>
      </c>
      <c r="W14" s="10">
        <v>100</v>
      </c>
      <c r="X14" s="50"/>
      <c r="AA14" s="10" t="s">
        <v>531</v>
      </c>
      <c r="AB14" s="10" t="s">
        <v>531</v>
      </c>
      <c r="AD14" s="5" t="s">
        <v>8</v>
      </c>
      <c r="AH14" s="5" t="s">
        <v>8</v>
      </c>
      <c r="AN14" s="10">
        <v>11</v>
      </c>
      <c r="AO14" s="22" t="s">
        <v>8</v>
      </c>
      <c r="AT14" s="9">
        <v>10</v>
      </c>
      <c r="AU14" s="10">
        <v>10</v>
      </c>
      <c r="AY14" s="126"/>
    </row>
    <row r="15" spans="1:52" x14ac:dyDescent="0.25">
      <c r="A15" t="s">
        <v>227</v>
      </c>
      <c r="B15" s="4" t="s">
        <v>464</v>
      </c>
      <c r="D15" s="10">
        <v>11</v>
      </c>
      <c r="E15" s="13">
        <v>12</v>
      </c>
      <c r="F15" s="13">
        <v>11</v>
      </c>
      <c r="H15" s="13">
        <v>100</v>
      </c>
      <c r="Q15" s="10">
        <v>100</v>
      </c>
      <c r="T15" s="10">
        <v>100</v>
      </c>
      <c r="W15" s="51" t="s">
        <v>8</v>
      </c>
      <c r="AA15" s="10">
        <v>100</v>
      </c>
      <c r="AB15" s="10">
        <v>100</v>
      </c>
      <c r="AN15" s="10">
        <v>12</v>
      </c>
      <c r="AT15" s="9">
        <v>11</v>
      </c>
      <c r="AU15" s="10">
        <v>11</v>
      </c>
      <c r="AY15" s="126"/>
    </row>
    <row r="16" spans="1:52" x14ac:dyDescent="0.25">
      <c r="A16" t="s">
        <v>235</v>
      </c>
      <c r="B16" s="4" t="s">
        <v>491</v>
      </c>
      <c r="D16" s="10">
        <v>12</v>
      </c>
      <c r="E16" s="13">
        <v>13</v>
      </c>
      <c r="F16" s="13">
        <v>12</v>
      </c>
      <c r="H16" s="51" t="s">
        <v>8</v>
      </c>
      <c r="Q16" s="51" t="s">
        <v>8</v>
      </c>
      <c r="T16" s="51" t="s">
        <v>8</v>
      </c>
      <c r="AA16" s="51" t="s">
        <v>8</v>
      </c>
      <c r="AB16" s="51" t="s">
        <v>8</v>
      </c>
      <c r="AN16" s="10">
        <v>13</v>
      </c>
      <c r="AT16" s="9">
        <v>12</v>
      </c>
      <c r="AU16" s="10">
        <v>12</v>
      </c>
      <c r="AY16" s="126"/>
    </row>
    <row r="17" spans="1:51" x14ac:dyDescent="0.25">
      <c r="A17" t="s">
        <v>236</v>
      </c>
      <c r="B17" s="4" t="s">
        <v>482</v>
      </c>
      <c r="D17" s="10">
        <v>13</v>
      </c>
      <c r="E17" s="13">
        <v>14</v>
      </c>
      <c r="F17" s="13">
        <v>13</v>
      </c>
      <c r="AN17" s="10">
        <v>14</v>
      </c>
      <c r="AT17" s="9">
        <v>13</v>
      </c>
      <c r="AU17" s="10">
        <v>13</v>
      </c>
      <c r="AY17" s="126"/>
    </row>
    <row r="18" spans="1:51" x14ac:dyDescent="0.25">
      <c r="A18" t="s">
        <v>237</v>
      </c>
      <c r="B18" s="4" t="s">
        <v>471</v>
      </c>
      <c r="D18" s="10">
        <v>14</v>
      </c>
      <c r="E18" s="13">
        <v>15</v>
      </c>
      <c r="F18" s="13">
        <v>14</v>
      </c>
      <c r="AN18" s="10">
        <v>15</v>
      </c>
      <c r="AT18" s="9">
        <v>14</v>
      </c>
      <c r="AU18" s="10">
        <v>14</v>
      </c>
      <c r="AY18" s="126"/>
    </row>
    <row r="19" spans="1:51" x14ac:dyDescent="0.25">
      <c r="A19" t="s">
        <v>238</v>
      </c>
      <c r="B19" s="4" t="s">
        <v>470</v>
      </c>
      <c r="D19" s="10">
        <v>15</v>
      </c>
      <c r="E19" s="13">
        <v>16</v>
      </c>
      <c r="F19" s="13">
        <v>15</v>
      </c>
      <c r="AN19" s="10">
        <v>16</v>
      </c>
      <c r="AT19" s="17" t="s">
        <v>8</v>
      </c>
      <c r="AU19" s="10">
        <v>15</v>
      </c>
      <c r="AY19" s="126"/>
    </row>
    <row r="20" spans="1:51" x14ac:dyDescent="0.25">
      <c r="A20" t="s">
        <v>239</v>
      </c>
      <c r="B20" s="4" t="s">
        <v>489</v>
      </c>
      <c r="D20" s="10">
        <v>16</v>
      </c>
      <c r="E20" s="13">
        <v>17</v>
      </c>
      <c r="F20" s="13">
        <v>16</v>
      </c>
      <c r="AN20" s="10">
        <v>17</v>
      </c>
      <c r="AU20" s="10">
        <v>16</v>
      </c>
      <c r="AY20" s="126"/>
    </row>
    <row r="21" spans="1:51" x14ac:dyDescent="0.25">
      <c r="A21" t="s">
        <v>240</v>
      </c>
      <c r="B21" s="4" t="s">
        <v>478</v>
      </c>
      <c r="D21" s="10">
        <v>17</v>
      </c>
      <c r="E21" s="13">
        <v>18</v>
      </c>
      <c r="F21" s="13">
        <v>17</v>
      </c>
      <c r="AN21" s="10">
        <v>18</v>
      </c>
      <c r="AU21" s="10">
        <v>17</v>
      </c>
      <c r="AY21" s="126"/>
    </row>
    <row r="22" spans="1:51" x14ac:dyDescent="0.25">
      <c r="A22" t="s">
        <v>241</v>
      </c>
      <c r="B22" s="4" t="s">
        <v>466</v>
      </c>
      <c r="D22" s="10">
        <v>18</v>
      </c>
      <c r="E22" s="13">
        <v>19</v>
      </c>
      <c r="F22" s="13">
        <v>18</v>
      </c>
      <c r="AN22" s="10">
        <v>19</v>
      </c>
      <c r="AU22" s="10">
        <v>18</v>
      </c>
      <c r="AY22" s="126"/>
    </row>
    <row r="23" spans="1:51" x14ac:dyDescent="0.25">
      <c r="A23" t="s">
        <v>242</v>
      </c>
      <c r="B23" s="4" t="s">
        <v>467</v>
      </c>
      <c r="D23" s="10">
        <v>19</v>
      </c>
      <c r="E23" s="13">
        <v>20</v>
      </c>
      <c r="F23" s="13">
        <v>19</v>
      </c>
      <c r="AN23" s="10">
        <v>20</v>
      </c>
      <c r="AU23" s="10">
        <v>19</v>
      </c>
      <c r="AY23" s="126"/>
    </row>
    <row r="24" spans="1:51" x14ac:dyDescent="0.25">
      <c r="A24" t="s">
        <v>243</v>
      </c>
      <c r="B24" s="4" t="s">
        <v>469</v>
      </c>
      <c r="D24" s="10">
        <v>20</v>
      </c>
      <c r="E24" s="13">
        <v>21</v>
      </c>
      <c r="F24" s="13">
        <v>20</v>
      </c>
      <c r="AN24" s="10">
        <v>21</v>
      </c>
      <c r="AU24" s="10">
        <v>20</v>
      </c>
      <c r="AY24" s="126"/>
    </row>
    <row r="25" spans="1:51" x14ac:dyDescent="0.25">
      <c r="A25" t="s">
        <v>244</v>
      </c>
      <c r="B25" s="4" t="s">
        <v>472</v>
      </c>
      <c r="D25" s="10">
        <v>21</v>
      </c>
      <c r="E25" s="13">
        <v>22</v>
      </c>
      <c r="F25" s="13">
        <v>21</v>
      </c>
      <c r="AN25" s="10">
        <v>22</v>
      </c>
      <c r="AU25" s="10">
        <v>21</v>
      </c>
    </row>
    <row r="26" spans="1:51" x14ac:dyDescent="0.25">
      <c r="A26" t="s">
        <v>245</v>
      </c>
      <c r="B26" s="4" t="s">
        <v>488</v>
      </c>
      <c r="D26" s="10">
        <v>22</v>
      </c>
      <c r="E26" s="13">
        <v>23</v>
      </c>
      <c r="F26" s="13">
        <v>22</v>
      </c>
      <c r="AN26" s="2" t="s">
        <v>8</v>
      </c>
      <c r="AU26" s="10">
        <v>22</v>
      </c>
    </row>
    <row r="27" spans="1:51" x14ac:dyDescent="0.25">
      <c r="A27" t="s">
        <v>246</v>
      </c>
      <c r="B27" s="4" t="s">
        <v>465</v>
      </c>
      <c r="D27" s="10">
        <v>23</v>
      </c>
      <c r="E27" s="13">
        <v>24</v>
      </c>
      <c r="F27" s="13">
        <v>23</v>
      </c>
      <c r="AU27" s="10">
        <v>23</v>
      </c>
    </row>
    <row r="28" spans="1:51" x14ac:dyDescent="0.25">
      <c r="A28" t="s">
        <v>247</v>
      </c>
      <c r="B28" s="4" t="s">
        <v>487</v>
      </c>
      <c r="D28" s="10">
        <v>24</v>
      </c>
      <c r="E28" s="13">
        <v>25</v>
      </c>
      <c r="F28" s="13">
        <v>24</v>
      </c>
      <c r="AU28" s="10">
        <v>24</v>
      </c>
    </row>
    <row r="29" spans="1:51" x14ac:dyDescent="0.25">
      <c r="A29" t="s">
        <v>248</v>
      </c>
      <c r="B29" s="4" t="s">
        <v>485</v>
      </c>
      <c r="D29" s="10">
        <v>25</v>
      </c>
      <c r="E29" s="13">
        <v>26</v>
      </c>
      <c r="F29" s="13">
        <v>25</v>
      </c>
      <c r="AU29" s="10">
        <v>25</v>
      </c>
    </row>
    <row r="30" spans="1:51" x14ac:dyDescent="0.25">
      <c r="A30" t="s">
        <v>249</v>
      </c>
      <c r="B30" s="4" t="s">
        <v>468</v>
      </c>
      <c r="D30" s="10">
        <v>26</v>
      </c>
      <c r="E30" s="13">
        <v>27</v>
      </c>
      <c r="F30" s="13">
        <v>26</v>
      </c>
      <c r="AU30" s="10">
        <v>26</v>
      </c>
    </row>
    <row r="31" spans="1:51" x14ac:dyDescent="0.25">
      <c r="A31" t="s">
        <v>8</v>
      </c>
      <c r="B31" s="4" t="s">
        <v>483</v>
      </c>
      <c r="D31" s="10">
        <v>27</v>
      </c>
      <c r="E31" s="13">
        <v>28</v>
      </c>
      <c r="F31" s="13">
        <v>27</v>
      </c>
      <c r="AU31" s="10">
        <v>27</v>
      </c>
    </row>
    <row r="32" spans="1:51" x14ac:dyDescent="0.25">
      <c r="B32" s="4" t="s">
        <v>474</v>
      </c>
      <c r="D32" s="10">
        <v>28</v>
      </c>
      <c r="E32" s="13">
        <v>29</v>
      </c>
      <c r="F32" s="13">
        <v>28</v>
      </c>
      <c r="AU32" s="10">
        <v>28</v>
      </c>
    </row>
    <row r="33" spans="2:47" x14ac:dyDescent="0.25">
      <c r="B33" s="2" t="s">
        <v>8</v>
      </c>
      <c r="D33" s="10">
        <v>29</v>
      </c>
      <c r="E33" s="13">
        <v>30</v>
      </c>
      <c r="F33" s="13">
        <v>29</v>
      </c>
      <c r="AU33" s="10">
        <v>29</v>
      </c>
    </row>
    <row r="34" spans="2:47" x14ac:dyDescent="0.25">
      <c r="B34" s="3"/>
      <c r="D34" s="10">
        <v>30</v>
      </c>
      <c r="E34" s="13">
        <v>31</v>
      </c>
      <c r="F34" s="13">
        <v>30</v>
      </c>
      <c r="AU34" s="10">
        <v>30</v>
      </c>
    </row>
    <row r="35" spans="2:47" x14ac:dyDescent="0.25">
      <c r="B35" s="3"/>
      <c r="D35" s="10">
        <v>31</v>
      </c>
      <c r="E35" s="13">
        <v>32</v>
      </c>
      <c r="F35" s="13">
        <v>31</v>
      </c>
      <c r="AU35" s="10">
        <v>31</v>
      </c>
    </row>
    <row r="36" spans="2:47" x14ac:dyDescent="0.25">
      <c r="B36" s="3"/>
      <c r="D36" s="10">
        <v>32</v>
      </c>
      <c r="E36" s="13">
        <v>33</v>
      </c>
      <c r="F36" s="13">
        <v>32</v>
      </c>
      <c r="AU36" s="10">
        <v>32</v>
      </c>
    </row>
    <row r="37" spans="2:47" x14ac:dyDescent="0.25">
      <c r="B37" s="3"/>
      <c r="D37" s="10">
        <v>33</v>
      </c>
      <c r="E37" s="13">
        <v>34</v>
      </c>
      <c r="F37" s="13">
        <v>33</v>
      </c>
      <c r="AU37" s="10">
        <v>33</v>
      </c>
    </row>
    <row r="38" spans="2:47" x14ac:dyDescent="0.25">
      <c r="B38" s="3"/>
      <c r="D38" s="10">
        <v>34</v>
      </c>
      <c r="E38" s="13">
        <v>35</v>
      </c>
      <c r="F38" s="13">
        <v>34</v>
      </c>
      <c r="AU38" s="10">
        <v>34</v>
      </c>
    </row>
    <row r="39" spans="2:47" x14ac:dyDescent="0.25">
      <c r="B39" s="3"/>
      <c r="D39" s="10">
        <v>35</v>
      </c>
      <c r="E39" s="13">
        <v>36</v>
      </c>
      <c r="F39" s="13">
        <v>35</v>
      </c>
      <c r="AU39" s="10">
        <v>35</v>
      </c>
    </row>
    <row r="40" spans="2:47" x14ac:dyDescent="0.25">
      <c r="B40" s="3"/>
      <c r="D40" s="10">
        <v>36</v>
      </c>
      <c r="E40" s="13">
        <v>37</v>
      </c>
      <c r="F40" s="13">
        <v>36</v>
      </c>
      <c r="AU40" s="10">
        <v>36</v>
      </c>
    </row>
    <row r="41" spans="2:47" x14ac:dyDescent="0.25">
      <c r="B41" s="3"/>
      <c r="D41" s="10">
        <v>37</v>
      </c>
      <c r="E41" s="13">
        <v>38</v>
      </c>
      <c r="F41" s="13">
        <v>37</v>
      </c>
      <c r="AU41" s="10">
        <v>37</v>
      </c>
    </row>
    <row r="42" spans="2:47" x14ac:dyDescent="0.25">
      <c r="B42" s="39"/>
      <c r="D42" s="10">
        <v>38</v>
      </c>
      <c r="E42" s="13">
        <v>39</v>
      </c>
      <c r="F42" s="13">
        <v>38</v>
      </c>
      <c r="AU42" s="10">
        <v>38</v>
      </c>
    </row>
    <row r="43" spans="2:47" x14ac:dyDescent="0.25">
      <c r="D43" s="10">
        <v>39</v>
      </c>
      <c r="E43" s="13">
        <v>40</v>
      </c>
      <c r="F43" s="13">
        <v>39</v>
      </c>
      <c r="AU43" s="10">
        <v>39</v>
      </c>
    </row>
    <row r="44" spans="2:47" x14ac:dyDescent="0.25">
      <c r="D44" s="10">
        <v>40</v>
      </c>
      <c r="E44" s="13">
        <v>41</v>
      </c>
      <c r="F44" s="13">
        <v>40</v>
      </c>
      <c r="AU44" s="10">
        <v>40</v>
      </c>
    </row>
    <row r="45" spans="2:47" x14ac:dyDescent="0.25">
      <c r="D45" s="10">
        <v>41</v>
      </c>
      <c r="E45" s="13">
        <v>42</v>
      </c>
      <c r="F45" s="13">
        <v>41</v>
      </c>
      <c r="AU45" s="10">
        <v>41</v>
      </c>
    </row>
    <row r="46" spans="2:47" x14ac:dyDescent="0.25">
      <c r="D46" s="10">
        <v>42</v>
      </c>
      <c r="E46" s="13">
        <v>43</v>
      </c>
      <c r="F46" s="13">
        <v>42</v>
      </c>
      <c r="AU46" s="10">
        <v>42</v>
      </c>
    </row>
    <row r="47" spans="2:47" x14ac:dyDescent="0.25">
      <c r="D47" s="10">
        <v>43</v>
      </c>
      <c r="E47" s="13">
        <v>44</v>
      </c>
      <c r="F47" s="13">
        <v>43</v>
      </c>
      <c r="AU47" s="10">
        <v>43</v>
      </c>
    </row>
    <row r="48" spans="2:47" x14ac:dyDescent="0.25">
      <c r="D48" s="10">
        <v>44</v>
      </c>
      <c r="E48" s="13">
        <v>45</v>
      </c>
      <c r="F48" s="13">
        <v>44</v>
      </c>
      <c r="AU48" s="10">
        <v>44</v>
      </c>
    </row>
    <row r="49" spans="4:47" x14ac:dyDescent="0.25">
      <c r="D49" s="10">
        <v>45</v>
      </c>
      <c r="E49" s="13">
        <v>46</v>
      </c>
      <c r="F49" s="13">
        <v>45</v>
      </c>
      <c r="AU49" s="10">
        <v>45</v>
      </c>
    </row>
    <row r="50" spans="4:47" x14ac:dyDescent="0.25">
      <c r="D50" s="10">
        <v>46</v>
      </c>
      <c r="E50" s="13">
        <v>47</v>
      </c>
      <c r="F50" s="13">
        <v>46</v>
      </c>
      <c r="AU50" s="10">
        <v>46</v>
      </c>
    </row>
    <row r="51" spans="4:47" x14ac:dyDescent="0.25">
      <c r="D51" s="10">
        <v>47</v>
      </c>
      <c r="E51" s="13">
        <v>48</v>
      </c>
      <c r="F51" s="13">
        <v>47</v>
      </c>
      <c r="AU51" s="10">
        <v>47</v>
      </c>
    </row>
    <row r="52" spans="4:47" x14ac:dyDescent="0.25">
      <c r="D52" s="10">
        <v>48</v>
      </c>
      <c r="E52" s="13">
        <v>49</v>
      </c>
      <c r="F52" s="13">
        <v>48</v>
      </c>
      <c r="AU52" s="10">
        <v>48</v>
      </c>
    </row>
    <row r="53" spans="4:47" x14ac:dyDescent="0.25">
      <c r="D53" s="10">
        <v>49</v>
      </c>
      <c r="E53" s="13">
        <v>50</v>
      </c>
      <c r="F53" s="13">
        <v>49</v>
      </c>
      <c r="AU53" s="10">
        <v>49</v>
      </c>
    </row>
    <row r="54" spans="4:47" x14ac:dyDescent="0.25">
      <c r="D54" s="2" t="s">
        <v>8</v>
      </c>
      <c r="E54" s="13">
        <v>51</v>
      </c>
      <c r="F54" s="13">
        <v>50</v>
      </c>
      <c r="AU54" s="10">
        <v>50</v>
      </c>
    </row>
    <row r="55" spans="4:47" x14ac:dyDescent="0.25">
      <c r="E55" s="13">
        <v>52</v>
      </c>
      <c r="F55" s="13">
        <v>51</v>
      </c>
      <c r="AU55" s="10">
        <v>51</v>
      </c>
    </row>
    <row r="56" spans="4:47" x14ac:dyDescent="0.25">
      <c r="E56" s="13">
        <v>53</v>
      </c>
      <c r="F56" s="13">
        <v>52</v>
      </c>
      <c r="AU56" s="10">
        <v>52</v>
      </c>
    </row>
    <row r="57" spans="4:47" x14ac:dyDescent="0.25">
      <c r="E57" s="13">
        <v>54</v>
      </c>
      <c r="F57" s="13">
        <v>53</v>
      </c>
      <c r="AU57" s="10">
        <v>53</v>
      </c>
    </row>
    <row r="58" spans="4:47" x14ac:dyDescent="0.25">
      <c r="E58" s="13">
        <v>55</v>
      </c>
      <c r="F58" s="13">
        <v>54</v>
      </c>
      <c r="AU58" s="10">
        <v>54</v>
      </c>
    </row>
    <row r="59" spans="4:47" x14ac:dyDescent="0.25">
      <c r="E59" s="13">
        <v>56</v>
      </c>
      <c r="F59" s="13">
        <v>55</v>
      </c>
      <c r="AU59" s="10">
        <v>55</v>
      </c>
    </row>
    <row r="60" spans="4:47" x14ac:dyDescent="0.25">
      <c r="E60" s="13">
        <v>57</v>
      </c>
      <c r="F60" s="13">
        <v>56</v>
      </c>
      <c r="AU60" s="10">
        <v>56</v>
      </c>
    </row>
    <row r="61" spans="4:47" x14ac:dyDescent="0.25">
      <c r="E61" s="13">
        <v>58</v>
      </c>
      <c r="F61" s="13">
        <v>57</v>
      </c>
      <c r="AU61" s="10">
        <v>57</v>
      </c>
    </row>
    <row r="62" spans="4:47" x14ac:dyDescent="0.25">
      <c r="E62" s="13">
        <v>59</v>
      </c>
      <c r="F62" s="13">
        <v>58</v>
      </c>
      <c r="AU62" s="10">
        <v>58</v>
      </c>
    </row>
    <row r="63" spans="4:47" x14ac:dyDescent="0.25">
      <c r="E63" s="13">
        <v>60</v>
      </c>
      <c r="F63" s="13">
        <v>59</v>
      </c>
      <c r="AU63" s="10">
        <v>59</v>
      </c>
    </row>
    <row r="64" spans="4:47" x14ac:dyDescent="0.25">
      <c r="E64" s="13">
        <v>61</v>
      </c>
      <c r="F64" s="13">
        <v>60</v>
      </c>
      <c r="AU64" s="10">
        <v>60</v>
      </c>
    </row>
    <row r="65" spans="5:47" x14ac:dyDescent="0.25">
      <c r="E65" s="13">
        <v>62</v>
      </c>
      <c r="F65" s="13">
        <v>61</v>
      </c>
      <c r="AU65" s="10">
        <v>61</v>
      </c>
    </row>
    <row r="66" spans="5:47" x14ac:dyDescent="0.25">
      <c r="E66" s="13">
        <v>63</v>
      </c>
      <c r="F66" s="13">
        <v>62</v>
      </c>
      <c r="AU66" s="10">
        <v>62</v>
      </c>
    </row>
    <row r="67" spans="5:47" x14ac:dyDescent="0.25">
      <c r="E67" s="13">
        <v>64</v>
      </c>
      <c r="F67" s="13">
        <v>63</v>
      </c>
      <c r="AU67" s="10">
        <v>63</v>
      </c>
    </row>
    <row r="68" spans="5:47" x14ac:dyDescent="0.25">
      <c r="E68" s="13">
        <v>65</v>
      </c>
      <c r="F68" s="13">
        <v>64</v>
      </c>
      <c r="AU68" s="10">
        <v>64</v>
      </c>
    </row>
    <row r="69" spans="5:47" x14ac:dyDescent="0.25">
      <c r="E69" s="13">
        <v>66</v>
      </c>
      <c r="F69" s="13">
        <v>65</v>
      </c>
      <c r="AU69" s="10">
        <v>65</v>
      </c>
    </row>
    <row r="70" spans="5:47" x14ac:dyDescent="0.25">
      <c r="E70" s="13">
        <v>67</v>
      </c>
      <c r="F70" s="13">
        <v>66</v>
      </c>
      <c r="AU70" s="10">
        <v>66</v>
      </c>
    </row>
    <row r="71" spans="5:47" x14ac:dyDescent="0.25">
      <c r="E71" s="13">
        <v>68</v>
      </c>
      <c r="F71" s="13">
        <v>67</v>
      </c>
      <c r="AU71" s="10">
        <v>67</v>
      </c>
    </row>
    <row r="72" spans="5:47" x14ac:dyDescent="0.25">
      <c r="E72" s="13">
        <v>69</v>
      </c>
      <c r="F72" s="13">
        <v>68</v>
      </c>
      <c r="AU72" s="10">
        <v>68</v>
      </c>
    </row>
    <row r="73" spans="5:47" x14ac:dyDescent="0.25">
      <c r="E73" s="13">
        <v>70</v>
      </c>
      <c r="F73" s="13">
        <v>69</v>
      </c>
      <c r="AU73" s="10">
        <v>69</v>
      </c>
    </row>
    <row r="74" spans="5:47" x14ac:dyDescent="0.25">
      <c r="E74" s="2" t="s">
        <v>8</v>
      </c>
      <c r="F74" s="13">
        <v>70</v>
      </c>
      <c r="AU74" s="10">
        <v>70</v>
      </c>
    </row>
    <row r="75" spans="5:47" x14ac:dyDescent="0.25">
      <c r="F75" s="2" t="s">
        <v>8</v>
      </c>
      <c r="AU75" s="10">
        <v>71</v>
      </c>
    </row>
    <row r="76" spans="5:47" x14ac:dyDescent="0.25">
      <c r="AU76" s="10">
        <v>72</v>
      </c>
    </row>
    <row r="77" spans="5:47" x14ac:dyDescent="0.25">
      <c r="AU77" s="10">
        <v>73</v>
      </c>
    </row>
    <row r="78" spans="5:47" x14ac:dyDescent="0.25">
      <c r="AU78" s="10">
        <v>74</v>
      </c>
    </row>
    <row r="79" spans="5:47" x14ac:dyDescent="0.25">
      <c r="AU79" s="10">
        <v>75</v>
      </c>
    </row>
    <row r="80" spans="5:47" x14ac:dyDescent="0.25">
      <c r="AU80" s="10">
        <v>76</v>
      </c>
    </row>
    <row r="81" spans="47:47" x14ac:dyDescent="0.25">
      <c r="AU81" s="10">
        <v>77</v>
      </c>
    </row>
    <row r="82" spans="47:47" x14ac:dyDescent="0.25">
      <c r="AU82" s="10">
        <v>78</v>
      </c>
    </row>
    <row r="83" spans="47:47" x14ac:dyDescent="0.25">
      <c r="AU83" s="10">
        <v>79</v>
      </c>
    </row>
    <row r="84" spans="47:47" x14ac:dyDescent="0.25">
      <c r="AU84" s="10">
        <v>80</v>
      </c>
    </row>
    <row r="85" spans="47:47" x14ac:dyDescent="0.25">
      <c r="AU85" s="10">
        <v>81</v>
      </c>
    </row>
    <row r="86" spans="47:47" x14ac:dyDescent="0.25">
      <c r="AU86" s="10">
        <v>82</v>
      </c>
    </row>
    <row r="87" spans="47:47" x14ac:dyDescent="0.25">
      <c r="AU87" s="10">
        <v>83</v>
      </c>
    </row>
    <row r="88" spans="47:47" x14ac:dyDescent="0.25">
      <c r="AU88" s="10">
        <v>84</v>
      </c>
    </row>
    <row r="89" spans="47:47" x14ac:dyDescent="0.25">
      <c r="AU89" s="10">
        <v>85</v>
      </c>
    </row>
    <row r="90" spans="47:47" x14ac:dyDescent="0.25">
      <c r="AU90" s="10">
        <v>86</v>
      </c>
    </row>
    <row r="91" spans="47:47" x14ac:dyDescent="0.25">
      <c r="AU91" s="10">
        <v>87</v>
      </c>
    </row>
    <row r="92" spans="47:47" x14ac:dyDescent="0.25">
      <c r="AU92" s="10">
        <v>88</v>
      </c>
    </row>
    <row r="93" spans="47:47" x14ac:dyDescent="0.25">
      <c r="AU93" s="10">
        <v>89</v>
      </c>
    </row>
    <row r="94" spans="47:47" x14ac:dyDescent="0.25">
      <c r="AU94" s="10">
        <v>90</v>
      </c>
    </row>
    <row r="95" spans="47:47" x14ac:dyDescent="0.25">
      <c r="AU95" s="10">
        <v>91</v>
      </c>
    </row>
    <row r="96" spans="47:47" x14ac:dyDescent="0.25">
      <c r="AU96" s="10">
        <v>92</v>
      </c>
    </row>
    <row r="97" spans="47:47" x14ac:dyDescent="0.25">
      <c r="AU97" s="10">
        <v>93</v>
      </c>
    </row>
    <row r="98" spans="47:47" x14ac:dyDescent="0.25">
      <c r="AU98" s="10">
        <v>94</v>
      </c>
    </row>
    <row r="99" spans="47:47" x14ac:dyDescent="0.25">
      <c r="AU99" s="10">
        <v>95</v>
      </c>
    </row>
    <row r="100" spans="47:47" x14ac:dyDescent="0.25">
      <c r="AU100" s="10">
        <v>96</v>
      </c>
    </row>
    <row r="101" spans="47:47" x14ac:dyDescent="0.25">
      <c r="AU101" s="10">
        <v>97</v>
      </c>
    </row>
    <row r="102" spans="47:47" x14ac:dyDescent="0.25">
      <c r="AU102" s="10">
        <v>98</v>
      </c>
    </row>
    <row r="103" spans="47:47" x14ac:dyDescent="0.25">
      <c r="AU103" s="10">
        <v>99</v>
      </c>
    </row>
    <row r="104" spans="47:47" x14ac:dyDescent="0.25">
      <c r="AU104" s="10">
        <v>100</v>
      </c>
    </row>
    <row r="105" spans="47:47" x14ac:dyDescent="0.25">
      <c r="AU105" s="10">
        <v>101</v>
      </c>
    </row>
    <row r="106" spans="47:47" x14ac:dyDescent="0.25">
      <c r="AU106" s="10">
        <v>102</v>
      </c>
    </row>
    <row r="107" spans="47:47" x14ac:dyDescent="0.25">
      <c r="AU107" s="10">
        <v>103</v>
      </c>
    </row>
    <row r="108" spans="47:47" x14ac:dyDescent="0.25">
      <c r="AU108" s="10">
        <v>104</v>
      </c>
    </row>
    <row r="109" spans="47:47" x14ac:dyDescent="0.25">
      <c r="AU109" s="10">
        <v>105</v>
      </c>
    </row>
    <row r="110" spans="47:47" x14ac:dyDescent="0.25">
      <c r="AU110" s="10">
        <v>106</v>
      </c>
    </row>
    <row r="111" spans="47:47" x14ac:dyDescent="0.25">
      <c r="AU111" s="10">
        <v>107</v>
      </c>
    </row>
    <row r="112" spans="47:47" x14ac:dyDescent="0.25">
      <c r="AU112" s="10">
        <v>108</v>
      </c>
    </row>
    <row r="113" spans="47:47" x14ac:dyDescent="0.25">
      <c r="AU113" s="10">
        <v>109</v>
      </c>
    </row>
    <row r="114" spans="47:47" x14ac:dyDescent="0.25">
      <c r="AU114" s="10">
        <v>110</v>
      </c>
    </row>
    <row r="115" spans="47:47" x14ac:dyDescent="0.25">
      <c r="AU115" s="10">
        <v>111</v>
      </c>
    </row>
    <row r="116" spans="47:47" x14ac:dyDescent="0.25">
      <c r="AU116" s="10">
        <v>112</v>
      </c>
    </row>
    <row r="117" spans="47:47" x14ac:dyDescent="0.25">
      <c r="AU117" s="10">
        <v>113</v>
      </c>
    </row>
    <row r="118" spans="47:47" x14ac:dyDescent="0.25">
      <c r="AU118" s="10">
        <v>114</v>
      </c>
    </row>
    <row r="119" spans="47:47" x14ac:dyDescent="0.25">
      <c r="AU119" s="10">
        <v>115</v>
      </c>
    </row>
    <row r="120" spans="47:47" x14ac:dyDescent="0.25">
      <c r="AU120" s="10">
        <v>116</v>
      </c>
    </row>
    <row r="121" spans="47:47" x14ac:dyDescent="0.25">
      <c r="AU121" s="10">
        <v>117</v>
      </c>
    </row>
    <row r="122" spans="47:47" x14ac:dyDescent="0.25">
      <c r="AU122" s="10">
        <v>118</v>
      </c>
    </row>
    <row r="123" spans="47:47" x14ac:dyDescent="0.25">
      <c r="AU123" s="10">
        <v>119</v>
      </c>
    </row>
    <row r="124" spans="47:47" x14ac:dyDescent="0.25">
      <c r="AU124" s="10">
        <v>120</v>
      </c>
    </row>
    <row r="125" spans="47:47" x14ac:dyDescent="0.25">
      <c r="AU125" s="2" t="s">
        <v>8</v>
      </c>
    </row>
  </sheetData>
  <pageMargins left="0.7" right="0.7" top="0.78740157499999996" bottom="0.78740157499999996" header="0.3" footer="0.3"/>
  <pageSetup paperSize="8" scale="64" orientation="landscape" r:id="rId1"/>
  <rowBreaks count="1" manualBreakCount="1">
    <brk id="78" max="16383" man="1"/>
  </rowBreaks>
  <colBreaks count="1" manualBreakCount="1">
    <brk id="40" max="124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FY2"/>
  <sheetViews>
    <sheetView topLeftCell="AP1" zoomScale="85" zoomScaleNormal="85" workbookViewId="0">
      <selection activeCell="BD36" sqref="BD36"/>
    </sheetView>
  </sheetViews>
  <sheetFormatPr baseColWidth="10" defaultRowHeight="15" x14ac:dyDescent="0.25"/>
  <cols>
    <col min="1" max="1" width="10.28515625" customWidth="1"/>
    <col min="2" max="2" width="10.42578125" customWidth="1"/>
    <col min="3" max="3" width="13.42578125" customWidth="1"/>
    <col min="4" max="4" width="21.140625" customWidth="1"/>
    <col min="5" max="5" width="11.42578125" customWidth="1"/>
    <col min="6" max="6" width="8.5703125" customWidth="1"/>
    <col min="7" max="7" width="23.7109375" customWidth="1"/>
    <col min="8" max="8" width="16.42578125" customWidth="1"/>
    <col min="9" max="9" width="15.42578125" customWidth="1"/>
    <col min="10" max="10" width="14.85546875" customWidth="1"/>
    <col min="11" max="11" width="16.85546875" customWidth="1"/>
    <col min="13" max="13" width="14" customWidth="1"/>
    <col min="15" max="15" width="15.85546875" customWidth="1"/>
    <col min="23" max="23" width="15.28515625" customWidth="1"/>
    <col min="24" max="24" width="15.140625" customWidth="1"/>
    <col min="25" max="25" width="14.5703125" customWidth="1"/>
    <col min="26" max="26" width="18.42578125" customWidth="1"/>
    <col min="27" max="27" width="24.140625" customWidth="1"/>
    <col min="28" max="28" width="14.85546875" customWidth="1"/>
    <col min="29" max="29" width="15.140625" customWidth="1"/>
    <col min="30" max="30" width="15" customWidth="1"/>
    <col min="43" max="44" width="15.7109375" customWidth="1"/>
    <col min="55" max="76" width="15.7109375" customWidth="1"/>
    <col min="77" max="77" width="13.5703125" customWidth="1"/>
    <col min="78" max="78" width="13" customWidth="1"/>
    <col min="79" max="79" width="15.140625" customWidth="1"/>
    <col min="80" max="80" width="13.85546875" customWidth="1"/>
    <col min="81" max="82" width="13.5703125" customWidth="1"/>
    <col min="83" max="84" width="15.7109375" customWidth="1"/>
    <col min="85" max="85" width="14" customWidth="1"/>
  </cols>
  <sheetData>
    <row r="1" spans="1:181" x14ac:dyDescent="0.25">
      <c r="A1" s="113" t="s">
        <v>270</v>
      </c>
      <c r="B1" s="113" t="s">
        <v>271</v>
      </c>
      <c r="C1" s="113" t="s">
        <v>272</v>
      </c>
      <c r="D1" s="114" t="s">
        <v>3</v>
      </c>
      <c r="E1" s="53" t="s">
        <v>269</v>
      </c>
      <c r="F1" s="84" t="s">
        <v>223</v>
      </c>
      <c r="G1" s="115" t="s">
        <v>5</v>
      </c>
      <c r="H1" s="115" t="s">
        <v>279</v>
      </c>
      <c r="I1" s="29" t="s">
        <v>280</v>
      </c>
      <c r="J1" s="29" t="s">
        <v>281</v>
      </c>
      <c r="K1" s="29" t="s">
        <v>282</v>
      </c>
      <c r="L1" s="29" t="s">
        <v>283</v>
      </c>
      <c r="M1" s="29" t="s">
        <v>284</v>
      </c>
      <c r="N1" s="30" t="s">
        <v>285</v>
      </c>
      <c r="O1" s="30" t="s">
        <v>20</v>
      </c>
      <c r="P1" s="30" t="s">
        <v>286</v>
      </c>
      <c r="Q1" s="30" t="s">
        <v>287</v>
      </c>
      <c r="R1" s="30" t="s">
        <v>288</v>
      </c>
      <c r="S1" s="30" t="s">
        <v>289</v>
      </c>
      <c r="T1" s="30" t="s">
        <v>290</v>
      </c>
      <c r="U1" s="30" t="s">
        <v>291</v>
      </c>
      <c r="V1" s="23" t="s">
        <v>42</v>
      </c>
      <c r="W1" s="23" t="s">
        <v>49</v>
      </c>
      <c r="X1" s="23" t="s">
        <v>292</v>
      </c>
      <c r="Y1" s="23" t="s">
        <v>54</v>
      </c>
      <c r="Z1" s="23" t="s">
        <v>293</v>
      </c>
      <c r="AA1" s="23" t="s">
        <v>294</v>
      </c>
      <c r="AB1" s="117" t="s">
        <v>295</v>
      </c>
      <c r="AC1" s="117" t="s">
        <v>296</v>
      </c>
      <c r="AD1" s="117" t="s">
        <v>297</v>
      </c>
      <c r="AE1" s="117" t="s">
        <v>298</v>
      </c>
      <c r="AF1" s="117" t="s">
        <v>299</v>
      </c>
      <c r="AG1" s="117" t="s">
        <v>300</v>
      </c>
      <c r="AH1" s="117" t="s">
        <v>301</v>
      </c>
      <c r="AI1" s="117" t="s">
        <v>302</v>
      </c>
      <c r="AJ1" s="117" t="s">
        <v>303</v>
      </c>
      <c r="AK1" s="117" t="s">
        <v>304</v>
      </c>
      <c r="AL1" s="117" t="s">
        <v>305</v>
      </c>
      <c r="AM1" s="117" t="s">
        <v>306</v>
      </c>
      <c r="AN1" s="117" t="s">
        <v>307</v>
      </c>
      <c r="AO1" s="117" t="s">
        <v>308</v>
      </c>
      <c r="AP1" s="117" t="s">
        <v>309</v>
      </c>
      <c r="AQ1" s="118" t="s">
        <v>310</v>
      </c>
      <c r="AR1" s="118" t="s">
        <v>311</v>
      </c>
      <c r="AS1" s="118" t="s">
        <v>312</v>
      </c>
      <c r="AT1" s="118" t="s">
        <v>313</v>
      </c>
      <c r="AU1" s="118" t="s">
        <v>316</v>
      </c>
      <c r="AV1" s="118" t="s">
        <v>319</v>
      </c>
      <c r="AW1" s="118" t="s">
        <v>314</v>
      </c>
      <c r="AX1" s="118" t="s">
        <v>318</v>
      </c>
      <c r="AY1" s="118" t="s">
        <v>320</v>
      </c>
      <c r="AZ1" s="118" t="s">
        <v>315</v>
      </c>
      <c r="BA1" s="118" t="s">
        <v>317</v>
      </c>
      <c r="BB1" s="118" t="s">
        <v>321</v>
      </c>
      <c r="BC1" s="116" t="s">
        <v>331</v>
      </c>
      <c r="BD1" s="116" t="s">
        <v>332</v>
      </c>
      <c r="BE1" s="116" t="s">
        <v>333</v>
      </c>
      <c r="BF1" s="116" t="s">
        <v>334</v>
      </c>
      <c r="BG1" s="116" t="s">
        <v>335</v>
      </c>
      <c r="BH1" s="120" t="s">
        <v>336</v>
      </c>
      <c r="BI1" s="119" t="s">
        <v>322</v>
      </c>
      <c r="BJ1" s="119" t="s">
        <v>323</v>
      </c>
      <c r="BK1" s="119" t="s">
        <v>324</v>
      </c>
      <c r="BL1" s="119" t="s">
        <v>325</v>
      </c>
      <c r="BM1" s="119" t="s">
        <v>326</v>
      </c>
      <c r="BN1" s="119" t="s">
        <v>327</v>
      </c>
      <c r="BO1" s="119" t="s">
        <v>328</v>
      </c>
      <c r="BP1" s="119" t="s">
        <v>329</v>
      </c>
      <c r="BQ1" s="119" t="s">
        <v>330</v>
      </c>
      <c r="BR1" s="121" t="s">
        <v>337</v>
      </c>
      <c r="BS1" s="121" t="s">
        <v>338</v>
      </c>
      <c r="BT1" s="121" t="s">
        <v>339</v>
      </c>
      <c r="BU1" s="121" t="s">
        <v>340</v>
      </c>
      <c r="BV1" s="121" t="s">
        <v>341</v>
      </c>
      <c r="BW1" s="121" t="s">
        <v>342</v>
      </c>
      <c r="BX1" s="121" t="s">
        <v>343</v>
      </c>
      <c r="BY1" s="113" t="s">
        <v>344</v>
      </c>
      <c r="BZ1" s="113" t="s">
        <v>345</v>
      </c>
      <c r="CA1" s="113" t="s">
        <v>346</v>
      </c>
      <c r="CB1" s="113" t="s">
        <v>347</v>
      </c>
      <c r="CC1" s="113" t="s">
        <v>348</v>
      </c>
      <c r="CD1" s="113" t="s">
        <v>349</v>
      </c>
      <c r="CE1" s="113" t="s">
        <v>350</v>
      </c>
      <c r="CF1" s="113" t="s">
        <v>351</v>
      </c>
      <c r="CG1" s="113" t="s">
        <v>352</v>
      </c>
      <c r="CH1" s="113" t="s">
        <v>353</v>
      </c>
      <c r="CI1" s="113" t="s">
        <v>354</v>
      </c>
      <c r="CJ1" s="113" t="s">
        <v>355</v>
      </c>
      <c r="CK1" s="113" t="s">
        <v>356</v>
      </c>
      <c r="CL1" s="113" t="s">
        <v>357</v>
      </c>
      <c r="CM1" s="113" t="s">
        <v>358</v>
      </c>
      <c r="CN1" s="113" t="s">
        <v>359</v>
      </c>
      <c r="CO1" s="113" t="s">
        <v>360</v>
      </c>
      <c r="CP1" s="113" t="s">
        <v>361</v>
      </c>
      <c r="CQ1" s="113" t="s">
        <v>362</v>
      </c>
      <c r="CR1" s="113" t="s">
        <v>363</v>
      </c>
      <c r="CS1" s="113" t="s">
        <v>364</v>
      </c>
      <c r="CT1" s="113" t="s">
        <v>365</v>
      </c>
      <c r="CU1" s="113" t="s">
        <v>366</v>
      </c>
      <c r="CV1" s="113" t="s">
        <v>367</v>
      </c>
      <c r="CW1" s="113" t="s">
        <v>368</v>
      </c>
      <c r="CX1" s="113" t="s">
        <v>369</v>
      </c>
      <c r="CY1" s="113" t="s">
        <v>370</v>
      </c>
      <c r="CZ1" s="113" t="s">
        <v>371</v>
      </c>
      <c r="DA1" s="113" t="s">
        <v>372</v>
      </c>
      <c r="DB1" s="113" t="s">
        <v>373</v>
      </c>
      <c r="DC1" s="113" t="s">
        <v>374</v>
      </c>
      <c r="DD1" s="113" t="s">
        <v>375</v>
      </c>
      <c r="DE1" s="113" t="s">
        <v>376</v>
      </c>
      <c r="DF1" s="113" t="s">
        <v>377</v>
      </c>
      <c r="DG1" s="113" t="s">
        <v>378</v>
      </c>
      <c r="DH1" s="113" t="s">
        <v>379</v>
      </c>
      <c r="DI1" s="113" t="s">
        <v>380</v>
      </c>
      <c r="DJ1" s="113" t="s">
        <v>381</v>
      </c>
      <c r="DK1" s="113" t="s">
        <v>382</v>
      </c>
      <c r="DL1" s="113" t="s">
        <v>383</v>
      </c>
      <c r="DM1" s="113" t="s">
        <v>384</v>
      </c>
      <c r="DN1" s="113" t="s">
        <v>385</v>
      </c>
      <c r="DO1" s="113" t="s">
        <v>386</v>
      </c>
      <c r="DP1" s="113" t="s">
        <v>387</v>
      </c>
      <c r="DQ1" s="113" t="s">
        <v>388</v>
      </c>
      <c r="DR1" s="113" t="s">
        <v>389</v>
      </c>
      <c r="DS1" s="113" t="s">
        <v>390</v>
      </c>
      <c r="DT1" s="113" t="s">
        <v>391</v>
      </c>
      <c r="DU1" s="113" t="s">
        <v>392</v>
      </c>
      <c r="DV1" s="113" t="s">
        <v>393</v>
      </c>
      <c r="DW1" s="113" t="s">
        <v>394</v>
      </c>
      <c r="DX1" s="113" t="s">
        <v>395</v>
      </c>
      <c r="DY1" s="113" t="s">
        <v>396</v>
      </c>
      <c r="DZ1" s="113" t="s">
        <v>397</v>
      </c>
      <c r="EA1" s="113" t="s">
        <v>398</v>
      </c>
      <c r="EB1" s="113" t="s">
        <v>399</v>
      </c>
      <c r="EC1" s="113" t="s">
        <v>400</v>
      </c>
      <c r="ED1" s="113" t="s">
        <v>401</v>
      </c>
      <c r="EE1" s="113" t="s">
        <v>402</v>
      </c>
      <c r="EF1" s="113" t="s">
        <v>403</v>
      </c>
      <c r="EG1" s="113" t="s">
        <v>404</v>
      </c>
      <c r="EH1" s="113" t="s">
        <v>405</v>
      </c>
      <c r="EI1" s="113" t="s">
        <v>406</v>
      </c>
      <c r="EJ1" s="113" t="s">
        <v>407</v>
      </c>
      <c r="EK1" s="113" t="s">
        <v>408</v>
      </c>
      <c r="EL1" s="113" t="s">
        <v>409</v>
      </c>
      <c r="EM1" s="113" t="s">
        <v>410</v>
      </c>
      <c r="EN1" s="113" t="s">
        <v>411</v>
      </c>
      <c r="EO1" s="113" t="s">
        <v>412</v>
      </c>
      <c r="EP1" s="113" t="s">
        <v>413</v>
      </c>
      <c r="EQ1" s="113" t="s">
        <v>414</v>
      </c>
      <c r="ER1" s="113" t="s">
        <v>415</v>
      </c>
      <c r="ES1" s="113" t="s">
        <v>416</v>
      </c>
      <c r="ET1" s="113" t="s">
        <v>417</v>
      </c>
      <c r="EU1" s="113" t="s">
        <v>418</v>
      </c>
      <c r="EV1" s="113" t="s">
        <v>419</v>
      </c>
      <c r="EW1" s="113" t="s">
        <v>420</v>
      </c>
      <c r="EX1" s="113" t="s">
        <v>421</v>
      </c>
      <c r="EY1" s="113" t="s">
        <v>422</v>
      </c>
      <c r="EZ1" s="113" t="s">
        <v>423</v>
      </c>
      <c r="FA1" s="113" t="s">
        <v>424</v>
      </c>
      <c r="FB1" s="113" t="s">
        <v>425</v>
      </c>
      <c r="FC1" s="113" t="s">
        <v>426</v>
      </c>
      <c r="FD1" s="113" t="s">
        <v>427</v>
      </c>
      <c r="FE1" s="113" t="s">
        <v>428</v>
      </c>
      <c r="FF1" s="113" t="s">
        <v>429</v>
      </c>
      <c r="FG1" s="113" t="s">
        <v>430</v>
      </c>
      <c r="FH1" s="113" t="s">
        <v>431</v>
      </c>
      <c r="FI1" s="113" t="s">
        <v>432</v>
      </c>
      <c r="FJ1" s="113" t="s">
        <v>433</v>
      </c>
      <c r="FK1" s="113" t="s">
        <v>434</v>
      </c>
      <c r="FL1" s="113" t="s">
        <v>435</v>
      </c>
      <c r="FM1" s="113" t="s">
        <v>436</v>
      </c>
      <c r="FN1" s="113" t="s">
        <v>437</v>
      </c>
      <c r="FO1" s="113" t="s">
        <v>438</v>
      </c>
      <c r="FP1" s="113" t="s">
        <v>439</v>
      </c>
      <c r="FQ1" s="113" t="s">
        <v>440</v>
      </c>
      <c r="FR1" s="113" t="s">
        <v>441</v>
      </c>
      <c r="FS1" s="113" t="s">
        <v>442</v>
      </c>
      <c r="FT1" s="113" t="s">
        <v>443</v>
      </c>
      <c r="FU1" s="113" t="s">
        <v>444</v>
      </c>
      <c r="FV1" s="113" t="s">
        <v>445</v>
      </c>
      <c r="FW1" s="113" t="s">
        <v>446</v>
      </c>
      <c r="FX1" s="113" t="s">
        <v>447</v>
      </c>
      <c r="FY1" s="113" t="s">
        <v>448</v>
      </c>
    </row>
    <row r="2" spans="1:181" x14ac:dyDescent="0.25">
      <c r="A2">
        <f>Aufnahmebogen!M3</f>
        <v>0</v>
      </c>
      <c r="B2" s="110">
        <f>Aufnahmebogen!M4</f>
        <v>0</v>
      </c>
      <c r="C2" s="110">
        <f ca="1">Aufnahmebogen!M5</f>
        <v>42979</v>
      </c>
      <c r="D2">
        <f>Aufnahmebogen!E13</f>
        <v>0</v>
      </c>
      <c r="E2">
        <f>Aufnahmebogen!E15</f>
        <v>0</v>
      </c>
      <c r="F2">
        <f>Aufnahmebogen!E17</f>
        <v>0</v>
      </c>
      <c r="G2">
        <f>Aufnahmebogen!E21</f>
        <v>0</v>
      </c>
      <c r="H2">
        <f>Aufnahmebogen!E23</f>
        <v>0</v>
      </c>
      <c r="I2">
        <f>Aufnahmebogen!E25</f>
        <v>0</v>
      </c>
      <c r="J2">
        <f>Aufnahmebogen!E27</f>
        <v>0</v>
      </c>
      <c r="K2">
        <f>Aufnahmebogen!E29</f>
        <v>0</v>
      </c>
      <c r="L2">
        <f>Aufnahmebogen!E31</f>
        <v>0</v>
      </c>
      <c r="M2">
        <f>Aufnahmebogen!E33</f>
        <v>0</v>
      </c>
      <c r="N2">
        <f>Aufnahmebogen!E37</f>
        <v>0</v>
      </c>
      <c r="O2">
        <f>Aufnahmebogen!E39</f>
        <v>0</v>
      </c>
      <c r="P2">
        <f>Aufnahmebogen!E41</f>
        <v>0</v>
      </c>
      <c r="Q2">
        <f>Aufnahmebogen!E43</f>
        <v>0</v>
      </c>
      <c r="R2">
        <f>Aufnahmebogen!E45</f>
        <v>0</v>
      </c>
      <c r="S2">
        <f>Aufnahmebogen!E47</f>
        <v>0</v>
      </c>
      <c r="T2">
        <f>Aufnahmebogen!E49</f>
        <v>0</v>
      </c>
      <c r="U2">
        <f>Aufnahmebogen!E51</f>
        <v>0</v>
      </c>
      <c r="V2">
        <f>Aufnahmebogen!E61</f>
        <v>0</v>
      </c>
      <c r="W2">
        <f>Aufnahmebogen!E63</f>
        <v>0</v>
      </c>
      <c r="X2">
        <f>Aufnahmebogen!E65</f>
        <v>0</v>
      </c>
      <c r="Y2">
        <f>Aufnahmebogen!E67</f>
        <v>0</v>
      </c>
      <c r="Z2">
        <f>Aufnahmebogen!E69</f>
        <v>0</v>
      </c>
      <c r="AA2">
        <f>Aufnahmebogen!E71</f>
        <v>0</v>
      </c>
      <c r="AB2">
        <f>Aufnahmebogen!E79</f>
        <v>0</v>
      </c>
      <c r="AC2">
        <f>Aufnahmebogen!E81</f>
        <v>0</v>
      </c>
      <c r="AD2">
        <f>Aufnahmebogen!E85</f>
        <v>0</v>
      </c>
      <c r="AE2" t="str">
        <f>Aufnahmebogen!G79</f>
        <v/>
      </c>
      <c r="AF2" t="str">
        <f>Aufnahmebogen!G81</f>
        <v/>
      </c>
      <c r="AG2" t="str">
        <f>Aufnahmebogen!G83</f>
        <v/>
      </c>
      <c r="AH2" t="str">
        <f>Aufnahmebogen!G85</f>
        <v/>
      </c>
      <c r="AI2">
        <f>Aufnahmebogen!I79</f>
        <v>0</v>
      </c>
      <c r="AJ2">
        <f>Aufnahmebogen!I81</f>
        <v>0</v>
      </c>
      <c r="AK2">
        <f>Aufnahmebogen!I83</f>
        <v>0</v>
      </c>
      <c r="AL2">
        <f>Aufnahmebogen!I85</f>
        <v>0</v>
      </c>
      <c r="AM2" t="str">
        <f>Aufnahmebogen!K79</f>
        <v/>
      </c>
      <c r="AN2" t="str">
        <f>Aufnahmebogen!K81</f>
        <v/>
      </c>
      <c r="AO2" t="str">
        <f>Aufnahmebogen!K83</f>
        <v/>
      </c>
      <c r="AP2" t="str">
        <f>Aufnahmebogen!K85</f>
        <v/>
      </c>
      <c r="AQ2">
        <f>Aufnahmebogen!E94</f>
        <v>0</v>
      </c>
      <c r="AR2">
        <f>Aufnahmebogen!E96</f>
        <v>0</v>
      </c>
      <c r="AS2">
        <f>Aufnahmebogen!E98</f>
        <v>0</v>
      </c>
      <c r="AT2" t="str">
        <f>Aufnahmebogen!G94</f>
        <v/>
      </c>
      <c r="AU2" t="str">
        <f>Aufnahmebogen!G96</f>
        <v/>
      </c>
      <c r="AV2" t="str">
        <f>Aufnahmebogen!G98</f>
        <v/>
      </c>
      <c r="AW2">
        <f>Aufnahmebogen!I94</f>
        <v>0</v>
      </c>
      <c r="AX2">
        <f>Aufnahmebogen!I96</f>
        <v>0</v>
      </c>
      <c r="AY2">
        <f>Aufnahmebogen!I98</f>
        <v>0</v>
      </c>
      <c r="AZ2" t="str">
        <f>Aufnahmebogen!K94</f>
        <v/>
      </c>
      <c r="BA2" t="str">
        <f>Aufnahmebogen!K96</f>
        <v/>
      </c>
      <c r="BB2" t="str">
        <f>Aufnahmebogen!K98</f>
        <v/>
      </c>
      <c r="BC2">
        <f>Aufnahmebogen!E110</f>
        <v>0</v>
      </c>
      <c r="BD2">
        <f>Aufnahmebogen!E112</f>
        <v>0</v>
      </c>
      <c r="BE2">
        <f>Aufnahmebogen!E114</f>
        <v>0</v>
      </c>
      <c r="BF2">
        <f>Aufnahmebogen!E116</f>
        <v>0</v>
      </c>
      <c r="BG2">
        <f>Aufnahmebogen!E118</f>
        <v>0</v>
      </c>
      <c r="BH2">
        <f>Aufnahmebogen!E122</f>
        <v>0</v>
      </c>
      <c r="BI2">
        <f>Aufnahmebogen!E129</f>
        <v>0</v>
      </c>
      <c r="BJ2">
        <f>Aufnahmebogen!E131</f>
        <v>0</v>
      </c>
      <c r="BK2">
        <f>Aufnahmebogen!E133</f>
        <v>0</v>
      </c>
      <c r="BL2">
        <f>Aufnahmebogen!E135</f>
        <v>0</v>
      </c>
      <c r="BM2">
        <f>Aufnahmebogen!E137</f>
        <v>0</v>
      </c>
      <c r="BN2">
        <f>Aufnahmebogen!E139</f>
        <v>0</v>
      </c>
      <c r="BO2">
        <f>Aufnahmebogen!E141</f>
        <v>0</v>
      </c>
      <c r="BP2">
        <f>Aufnahmebogen!E143</f>
        <v>0</v>
      </c>
      <c r="BQ2">
        <f>Aufnahmebogen!E145</f>
        <v>0</v>
      </c>
      <c r="BR2">
        <f>Aufnahmebogen!E153</f>
        <v>0</v>
      </c>
      <c r="BS2">
        <f>Aufnahmebogen!E155</f>
        <v>0</v>
      </c>
      <c r="BT2">
        <f>Aufnahmebogen!E157</f>
        <v>0</v>
      </c>
      <c r="BU2">
        <f>Aufnahmebogen!E161</f>
        <v>0</v>
      </c>
      <c r="BV2">
        <f>Aufnahmebogen!E163</f>
        <v>0</v>
      </c>
      <c r="BW2">
        <f>Aufnahmebogen!E165</f>
        <v>0</v>
      </c>
      <c r="BX2">
        <f>Aufnahmebogen!E167</f>
        <v>0</v>
      </c>
      <c r="BY2">
        <f>Aufnahmebogen!E174</f>
        <v>0</v>
      </c>
      <c r="BZ2">
        <f>Aufnahmebogen!E177</f>
        <v>0</v>
      </c>
      <c r="CA2">
        <f>Aufnahmebogen!E179</f>
        <v>0</v>
      </c>
      <c r="CB2">
        <f>Aufnahmebogen!E181</f>
        <v>0</v>
      </c>
      <c r="CC2">
        <f>Aufnahmebogen!E183</f>
        <v>0</v>
      </c>
      <c r="CD2">
        <f>Aufnahmebogen!G177</f>
        <v>0</v>
      </c>
      <c r="CE2">
        <f>Aufnahmebogen!G179</f>
        <v>0</v>
      </c>
      <c r="CF2">
        <f>Aufnahmebogen!G181</f>
        <v>0</v>
      </c>
      <c r="CG2">
        <f>Aufnahmebogen!G183</f>
        <v>0</v>
      </c>
      <c r="CH2">
        <f>Aufnahmebogen!I177</f>
        <v>0</v>
      </c>
      <c r="CI2">
        <f>Aufnahmebogen!I179</f>
        <v>0</v>
      </c>
      <c r="CJ2">
        <f>Aufnahmebogen!I181</f>
        <v>0</v>
      </c>
      <c r="CK2">
        <f>Aufnahmebogen!I183</f>
        <v>0</v>
      </c>
      <c r="CL2">
        <f>Aufnahmebogen!K177</f>
        <v>0</v>
      </c>
      <c r="CM2">
        <f>Aufnahmebogen!K179</f>
        <v>0</v>
      </c>
      <c r="CN2">
        <f>Aufnahmebogen!K181</f>
        <v>0</v>
      </c>
      <c r="CO2">
        <f>Aufnahmebogen!K183</f>
        <v>0</v>
      </c>
      <c r="CP2">
        <f>Aufnahmebogen!M177</f>
        <v>0</v>
      </c>
      <c r="CQ2">
        <f>Aufnahmebogen!M179</f>
        <v>0</v>
      </c>
      <c r="CR2">
        <f>Aufnahmebogen!M181</f>
        <v>0</v>
      </c>
      <c r="CS2">
        <f>Aufnahmebogen!M183</f>
        <v>0</v>
      </c>
      <c r="CT2">
        <f>Aufnahmebogen!E191</f>
        <v>0</v>
      </c>
      <c r="CU2">
        <f>Aufnahmebogen!E194</f>
        <v>0</v>
      </c>
      <c r="CV2">
        <f>Aufnahmebogen!E196</f>
        <v>0</v>
      </c>
      <c r="CW2">
        <f>Aufnahmebogen!E198</f>
        <v>0</v>
      </c>
      <c r="CX2">
        <f>Aufnahmebogen!E200</f>
        <v>0</v>
      </c>
      <c r="CY2">
        <f>Aufnahmebogen!G194</f>
        <v>0</v>
      </c>
      <c r="CZ2">
        <f>Aufnahmebogen!G196</f>
        <v>0</v>
      </c>
      <c r="DA2">
        <f>Aufnahmebogen!G198</f>
        <v>0</v>
      </c>
      <c r="DB2">
        <f>Aufnahmebogen!G200</f>
        <v>0</v>
      </c>
      <c r="DC2">
        <f>Aufnahmebogen!I194</f>
        <v>0</v>
      </c>
      <c r="DD2">
        <f>Aufnahmebogen!I196</f>
        <v>0</v>
      </c>
      <c r="DE2">
        <f>Aufnahmebogen!I198</f>
        <v>0</v>
      </c>
      <c r="DF2">
        <f>Aufnahmebogen!I200</f>
        <v>0</v>
      </c>
      <c r="DG2">
        <f>Aufnahmebogen!K194</f>
        <v>0</v>
      </c>
      <c r="DH2">
        <f>Aufnahmebogen!K196</f>
        <v>0</v>
      </c>
      <c r="DI2">
        <f>Aufnahmebogen!K198</f>
        <v>0</v>
      </c>
      <c r="DJ2">
        <f>Aufnahmebogen!K200</f>
        <v>0</v>
      </c>
      <c r="DK2">
        <f>Aufnahmebogen!M194</f>
        <v>0</v>
      </c>
      <c r="DL2">
        <f>Aufnahmebogen!M196</f>
        <v>0</v>
      </c>
      <c r="DM2">
        <f>Aufnahmebogen!M198</f>
        <v>0</v>
      </c>
      <c r="DN2">
        <f>Aufnahmebogen!M200</f>
        <v>0</v>
      </c>
      <c r="DO2">
        <f>Aufnahmebogen!E209</f>
        <v>0</v>
      </c>
      <c r="DP2">
        <f>Aufnahmebogen!E212</f>
        <v>0</v>
      </c>
      <c r="DQ2">
        <f>Aufnahmebogen!E214</f>
        <v>0</v>
      </c>
      <c r="DR2">
        <f>Aufnahmebogen!E216</f>
        <v>0</v>
      </c>
      <c r="DS2">
        <f>Aufnahmebogen!E218</f>
        <v>0</v>
      </c>
      <c r="DT2">
        <f>Aufnahmebogen!G212</f>
        <v>0</v>
      </c>
      <c r="DU2">
        <f>Aufnahmebogen!G214</f>
        <v>0</v>
      </c>
      <c r="DV2">
        <f>Aufnahmebogen!G216</f>
        <v>0</v>
      </c>
      <c r="DW2">
        <f>Aufnahmebogen!G218</f>
        <v>0</v>
      </c>
      <c r="DX2">
        <f>Aufnahmebogen!I212</f>
        <v>0</v>
      </c>
      <c r="DY2">
        <f>Aufnahmebogen!I214</f>
        <v>0</v>
      </c>
      <c r="DZ2">
        <f>Aufnahmebogen!I216</f>
        <v>0</v>
      </c>
      <c r="EA2">
        <f>Aufnahmebogen!I218</f>
        <v>0</v>
      </c>
      <c r="EB2">
        <f>Aufnahmebogen!K212</f>
        <v>0</v>
      </c>
      <c r="EC2">
        <f>Aufnahmebogen!K214</f>
        <v>0</v>
      </c>
      <c r="ED2">
        <f>Aufnahmebogen!K216</f>
        <v>0</v>
      </c>
      <c r="EE2">
        <f>Aufnahmebogen!K218</f>
        <v>0</v>
      </c>
      <c r="EF2">
        <f>Aufnahmebogen!M212</f>
        <v>0</v>
      </c>
      <c r="EG2">
        <f>Aufnahmebogen!M214</f>
        <v>0</v>
      </c>
      <c r="EH2">
        <f>Aufnahmebogen!M216</f>
        <v>0</v>
      </c>
      <c r="EI2">
        <f>Aufnahmebogen!M218</f>
        <v>0</v>
      </c>
      <c r="EJ2">
        <f>Aufnahmebogen!E227</f>
        <v>0</v>
      </c>
      <c r="EK2">
        <f>Aufnahmebogen!E230</f>
        <v>0</v>
      </c>
      <c r="EL2">
        <f>Aufnahmebogen!E232</f>
        <v>0</v>
      </c>
      <c r="EM2">
        <f>Aufnahmebogen!E234</f>
        <v>0</v>
      </c>
      <c r="EN2">
        <f>Aufnahmebogen!E236</f>
        <v>0</v>
      </c>
      <c r="EO2">
        <f>Aufnahmebogen!G230</f>
        <v>0</v>
      </c>
      <c r="EP2">
        <f>Aufnahmebogen!G232</f>
        <v>0</v>
      </c>
      <c r="EQ2">
        <f>Aufnahmebogen!G234</f>
        <v>0</v>
      </c>
      <c r="ER2">
        <f>Aufnahmebogen!G236</f>
        <v>0</v>
      </c>
      <c r="ES2">
        <f>Aufnahmebogen!I230</f>
        <v>0</v>
      </c>
      <c r="ET2">
        <f>Aufnahmebogen!I232</f>
        <v>0</v>
      </c>
      <c r="EU2">
        <f>Aufnahmebogen!I234</f>
        <v>0</v>
      </c>
      <c r="EV2">
        <f>Aufnahmebogen!I236</f>
        <v>0</v>
      </c>
      <c r="EW2">
        <f>Aufnahmebogen!K230</f>
        <v>0</v>
      </c>
      <c r="EX2">
        <f>Aufnahmebogen!K232</f>
        <v>0</v>
      </c>
      <c r="EY2">
        <f>Aufnahmebogen!K234</f>
        <v>0</v>
      </c>
      <c r="EZ2">
        <f>Aufnahmebogen!K236</f>
        <v>0</v>
      </c>
      <c r="FA2">
        <f>Aufnahmebogen!M230</f>
        <v>0</v>
      </c>
      <c r="FB2">
        <f>Aufnahmebogen!M232</f>
        <v>0</v>
      </c>
      <c r="FC2">
        <f>Aufnahmebogen!M234</f>
        <v>0</v>
      </c>
      <c r="FD2">
        <f>Aufnahmebogen!M236</f>
        <v>0</v>
      </c>
      <c r="FE2">
        <f>Aufnahmebogen!E245</f>
        <v>0</v>
      </c>
      <c r="FF2">
        <f>Aufnahmebogen!E248</f>
        <v>0</v>
      </c>
      <c r="FG2">
        <f>Aufnahmebogen!E250</f>
        <v>0</v>
      </c>
      <c r="FH2">
        <f>Aufnahmebogen!E252</f>
        <v>0</v>
      </c>
      <c r="FI2">
        <f>Aufnahmebogen!E254</f>
        <v>0</v>
      </c>
      <c r="FJ2">
        <f>Aufnahmebogen!G248</f>
        <v>0</v>
      </c>
      <c r="FK2">
        <f>Aufnahmebogen!G250</f>
        <v>0</v>
      </c>
      <c r="FL2">
        <f>Aufnahmebogen!G252</f>
        <v>0</v>
      </c>
      <c r="FM2">
        <f>Aufnahmebogen!G254</f>
        <v>0</v>
      </c>
      <c r="FN2">
        <f>Aufnahmebogen!I248</f>
        <v>0</v>
      </c>
      <c r="FO2">
        <f>Aufnahmebogen!I250</f>
        <v>0</v>
      </c>
      <c r="FP2">
        <f>Aufnahmebogen!I252</f>
        <v>0</v>
      </c>
      <c r="FQ2">
        <f>Aufnahmebogen!I254</f>
        <v>0</v>
      </c>
      <c r="FR2">
        <f>Aufnahmebogen!K248</f>
        <v>0</v>
      </c>
      <c r="FS2">
        <f>Aufnahmebogen!K250</f>
        <v>0</v>
      </c>
      <c r="FT2">
        <f>Aufnahmebogen!K252</f>
        <v>0</v>
      </c>
      <c r="FU2">
        <f>Aufnahmebogen!K254</f>
        <v>0</v>
      </c>
      <c r="FV2">
        <f>Aufnahmebogen!M248</f>
        <v>0</v>
      </c>
      <c r="FW2">
        <f>Aufnahmebogen!M250</f>
        <v>0</v>
      </c>
      <c r="FX2">
        <f>Aufnahmebogen!M252</f>
        <v>0</v>
      </c>
      <c r="FY2">
        <f>Aufnahmebogen!M254</f>
        <v>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Z2"/>
  <sheetViews>
    <sheetView topLeftCell="BR1" workbookViewId="0">
      <selection activeCell="BV7" sqref="BV7"/>
    </sheetView>
  </sheetViews>
  <sheetFormatPr baseColWidth="10" defaultRowHeight="15" x14ac:dyDescent="0.25"/>
  <cols>
    <col min="1" max="78" width="20.7109375" customWidth="1"/>
  </cols>
  <sheetData>
    <row r="1" spans="1:78" x14ac:dyDescent="0.25">
      <c r="A1" s="113" t="s">
        <v>270</v>
      </c>
      <c r="B1" s="113" t="s">
        <v>271</v>
      </c>
      <c r="C1" s="113" t="s">
        <v>272</v>
      </c>
      <c r="D1" s="114" t="s">
        <v>3</v>
      </c>
      <c r="E1" s="53" t="s">
        <v>269</v>
      </c>
      <c r="F1" s="84" t="s">
        <v>223</v>
      </c>
      <c r="G1" s="115" t="s">
        <v>5</v>
      </c>
      <c r="H1" s="115" t="s">
        <v>279</v>
      </c>
      <c r="I1" s="29" t="s">
        <v>280</v>
      </c>
      <c r="J1" s="29" t="s">
        <v>281</v>
      </c>
      <c r="K1" s="29" t="s">
        <v>282</v>
      </c>
      <c r="L1" s="29" t="s">
        <v>283</v>
      </c>
      <c r="M1" s="29" t="s">
        <v>284</v>
      </c>
      <c r="N1" s="30" t="s">
        <v>285</v>
      </c>
      <c r="O1" s="30" t="s">
        <v>20</v>
      </c>
      <c r="P1" s="30" t="s">
        <v>286</v>
      </c>
      <c r="Q1" s="30" t="s">
        <v>287</v>
      </c>
      <c r="R1" s="30" t="s">
        <v>288</v>
      </c>
      <c r="S1" s="30" t="s">
        <v>289</v>
      </c>
      <c r="T1" s="30" t="s">
        <v>290</v>
      </c>
      <c r="U1" s="30" t="s">
        <v>291</v>
      </c>
      <c r="V1" s="23" t="s">
        <v>42</v>
      </c>
      <c r="W1" s="23" t="s">
        <v>49</v>
      </c>
      <c r="X1" s="23" t="s">
        <v>292</v>
      </c>
      <c r="Y1" s="23" t="s">
        <v>54</v>
      </c>
      <c r="Z1" s="23" t="s">
        <v>293</v>
      </c>
      <c r="AA1" s="23" t="s">
        <v>294</v>
      </c>
      <c r="AB1" s="117" t="s">
        <v>493</v>
      </c>
      <c r="AC1" s="117" t="s">
        <v>494</v>
      </c>
      <c r="AD1" s="117" t="s">
        <v>495</v>
      </c>
      <c r="AE1" s="117" t="s">
        <v>493</v>
      </c>
      <c r="AF1" s="118" t="s">
        <v>310</v>
      </c>
      <c r="AG1" s="118" t="s">
        <v>311</v>
      </c>
      <c r="AH1" s="118" t="s">
        <v>312</v>
      </c>
      <c r="AI1" s="116" t="s">
        <v>332</v>
      </c>
      <c r="AJ1" s="116" t="s">
        <v>333</v>
      </c>
      <c r="AK1" s="116" t="s">
        <v>334</v>
      </c>
      <c r="AL1" s="116" t="s">
        <v>335</v>
      </c>
      <c r="AM1" s="119" t="s">
        <v>323</v>
      </c>
      <c r="AN1" s="119" t="s">
        <v>324</v>
      </c>
      <c r="AO1" s="119" t="s">
        <v>325</v>
      </c>
      <c r="AP1" s="119" t="s">
        <v>326</v>
      </c>
      <c r="AQ1" s="119" t="s">
        <v>327</v>
      </c>
      <c r="AR1" s="119" t="s">
        <v>328</v>
      </c>
      <c r="AS1" s="119" t="s">
        <v>329</v>
      </c>
      <c r="AT1" s="119" t="s">
        <v>330</v>
      </c>
      <c r="AU1" s="121" t="s">
        <v>337</v>
      </c>
      <c r="AV1" s="121" t="s">
        <v>338</v>
      </c>
      <c r="AW1" s="121" t="s">
        <v>339</v>
      </c>
      <c r="AX1" s="121" t="s">
        <v>340</v>
      </c>
      <c r="AY1" s="121" t="s">
        <v>341</v>
      </c>
      <c r="AZ1" s="121" t="s">
        <v>342</v>
      </c>
      <c r="BA1" s="121" t="s">
        <v>343</v>
      </c>
      <c r="BB1" s="113" t="s">
        <v>496</v>
      </c>
      <c r="BC1" s="113" t="s">
        <v>497</v>
      </c>
      <c r="BD1" s="113" t="s">
        <v>498</v>
      </c>
      <c r="BE1" s="113" t="s">
        <v>499</v>
      </c>
      <c r="BF1" s="113" t="s">
        <v>500</v>
      </c>
      <c r="BG1" s="113" t="s">
        <v>501</v>
      </c>
      <c r="BH1" s="113" t="s">
        <v>502</v>
      </c>
      <c r="BI1" s="113" t="s">
        <v>503</v>
      </c>
      <c r="BJ1" s="113" t="s">
        <v>504</v>
      </c>
      <c r="BK1" s="113" t="s">
        <v>505</v>
      </c>
      <c r="BL1" s="113" t="s">
        <v>507</v>
      </c>
      <c r="BM1" s="113" t="s">
        <v>508</v>
      </c>
      <c r="BN1" s="113" t="s">
        <v>509</v>
      </c>
      <c r="BO1" s="113" t="s">
        <v>510</v>
      </c>
      <c r="BP1" s="113" t="s">
        <v>506</v>
      </c>
      <c r="BQ1" s="113" t="s">
        <v>511</v>
      </c>
      <c r="BR1" s="113" t="s">
        <v>512</v>
      </c>
      <c r="BS1" s="113" t="s">
        <v>513</v>
      </c>
      <c r="BT1" s="113" t="s">
        <v>514</v>
      </c>
      <c r="BU1" s="113" t="s">
        <v>515</v>
      </c>
      <c r="BV1" s="113" t="s">
        <v>516</v>
      </c>
      <c r="BW1" s="113" t="s">
        <v>517</v>
      </c>
      <c r="BX1" s="113" t="s">
        <v>518</v>
      </c>
      <c r="BY1" s="113" t="s">
        <v>519</v>
      </c>
      <c r="BZ1" s="113" t="s">
        <v>520</v>
      </c>
    </row>
    <row r="2" spans="1:78" x14ac:dyDescent="0.25">
      <c r="A2">
        <f>Aufnahmebogen!M3</f>
        <v>0</v>
      </c>
      <c r="B2" s="110">
        <f>Aufnahmebogen!M4</f>
        <v>0</v>
      </c>
      <c r="C2" s="110">
        <f ca="1">Aufnahmebogen!M5</f>
        <v>42979</v>
      </c>
      <c r="D2">
        <f>Aufnahmebogen!G13</f>
        <v>0</v>
      </c>
      <c r="E2">
        <f>Aufnahmebogen!G15</f>
        <v>0</v>
      </c>
      <c r="F2">
        <f>Aufnahmebogen!G17</f>
        <v>0</v>
      </c>
      <c r="G2">
        <f>Aufnahmebogen!G21</f>
        <v>0</v>
      </c>
      <c r="H2">
        <f>Aufnahmebogen!G23</f>
        <v>0</v>
      </c>
      <c r="I2">
        <f>Aufnahmebogen!G25</f>
        <v>0</v>
      </c>
      <c r="J2">
        <f>Aufnahmebogen!G27</f>
        <v>0</v>
      </c>
      <c r="K2">
        <f>Aufnahmebogen!G29</f>
        <v>0</v>
      </c>
      <c r="L2">
        <f>Aufnahmebogen!G31</f>
        <v>0</v>
      </c>
      <c r="M2">
        <f>Aufnahmebogen!G33</f>
        <v>0</v>
      </c>
      <c r="N2">
        <f>Aufnahmebogen!G37</f>
        <v>0</v>
      </c>
      <c r="O2">
        <f>Aufnahmebogen!G39</f>
        <v>0</v>
      </c>
      <c r="P2">
        <f>Aufnahmebogen!G41</f>
        <v>0</v>
      </c>
      <c r="Q2">
        <f>Aufnahmebogen!G43</f>
        <v>0</v>
      </c>
      <c r="R2">
        <f>Aufnahmebogen!G45</f>
        <v>0</v>
      </c>
      <c r="S2">
        <f>Aufnahmebogen!G47</f>
        <v>0</v>
      </c>
      <c r="T2">
        <f>Aufnahmebogen!G49</f>
        <v>0</v>
      </c>
      <c r="U2">
        <f>Aufnahmebogen!G51</f>
        <v>0</v>
      </c>
      <c r="V2">
        <f>Aufnahmebogen!G61</f>
        <v>0</v>
      </c>
      <c r="W2">
        <f>Aufnahmebogen!G63</f>
        <v>0</v>
      </c>
      <c r="X2">
        <f>Aufnahmebogen!G65</f>
        <v>0</v>
      </c>
      <c r="Y2">
        <f>Aufnahmebogen!G67</f>
        <v>0</v>
      </c>
      <c r="Z2">
        <f>Aufnahmebogen!G69</f>
        <v>0</v>
      </c>
      <c r="AA2">
        <f>Aufnahmebogen!G71</f>
        <v>0</v>
      </c>
      <c r="AB2">
        <f>Aufnahmebogen!M79</f>
        <v>0</v>
      </c>
      <c r="AC2">
        <f>Aufnahmebogen!M81</f>
        <v>0</v>
      </c>
      <c r="AD2">
        <f>Aufnahmebogen!M83</f>
        <v>0</v>
      </c>
      <c r="AE2">
        <f>Aufnahmebogen!M85</f>
        <v>0</v>
      </c>
      <c r="AF2">
        <f>Aufnahmebogen!M94</f>
        <v>0</v>
      </c>
      <c r="AG2">
        <f>Aufnahmebogen!M96</f>
        <v>0</v>
      </c>
      <c r="AH2">
        <f>Aufnahmebogen!M98</f>
        <v>0</v>
      </c>
      <c r="AI2">
        <f>Aufnahmebogen!G112</f>
        <v>0</v>
      </c>
      <c r="AJ2">
        <f>Aufnahmebogen!G114</f>
        <v>0</v>
      </c>
      <c r="AK2">
        <f>Aufnahmebogen!G116</f>
        <v>0</v>
      </c>
      <c r="AL2">
        <f>Aufnahmebogen!G118</f>
        <v>0</v>
      </c>
      <c r="AM2">
        <f>Aufnahmebogen!G131</f>
        <v>0</v>
      </c>
      <c r="AN2">
        <f>Aufnahmebogen!G133</f>
        <v>0</v>
      </c>
      <c r="AO2">
        <f>Aufnahmebogen!G135</f>
        <v>0</v>
      </c>
      <c r="AP2">
        <f>Aufnahmebogen!G137</f>
        <v>0</v>
      </c>
      <c r="AQ2">
        <f>Aufnahmebogen!G139</f>
        <v>0</v>
      </c>
      <c r="AR2">
        <f>Aufnahmebogen!G141</f>
        <v>0</v>
      </c>
      <c r="AS2">
        <f>Aufnahmebogen!G143</f>
        <v>0</v>
      </c>
      <c r="AT2">
        <f>Aufnahmebogen!G145</f>
        <v>0</v>
      </c>
      <c r="AU2">
        <f>Aufnahmebogen!G153</f>
        <v>0</v>
      </c>
      <c r="AV2">
        <f>Aufnahmebogen!G155</f>
        <v>0</v>
      </c>
      <c r="AW2">
        <f>Aufnahmebogen!G157</f>
        <v>0</v>
      </c>
      <c r="AX2">
        <f>Aufnahmebogen!G161</f>
        <v>0</v>
      </c>
      <c r="AY2">
        <f>Aufnahmebogen!G163</f>
        <v>0</v>
      </c>
      <c r="AZ2">
        <f>Aufnahmebogen!G165</f>
        <v>0</v>
      </c>
      <c r="BA2">
        <f>Aufnahmebogen!G167</f>
        <v>0</v>
      </c>
      <c r="BB2">
        <f>Aufnahmebogen!E187</f>
        <v>0</v>
      </c>
      <c r="BC2">
        <f>Aufnahmebogen!G187</f>
        <v>0</v>
      </c>
      <c r="BD2">
        <f>Aufnahmebogen!I187</f>
        <v>0</v>
      </c>
      <c r="BE2">
        <f>Aufnahmebogen!K187</f>
        <v>0</v>
      </c>
      <c r="BF2">
        <f>Aufnahmebogen!M187</f>
        <v>0</v>
      </c>
      <c r="BG2">
        <f>Aufnahmebogen!E204</f>
        <v>0</v>
      </c>
      <c r="BH2">
        <f>Aufnahmebogen!G204</f>
        <v>0</v>
      </c>
      <c r="BI2">
        <f>Aufnahmebogen!I204</f>
        <v>0</v>
      </c>
      <c r="BJ2">
        <f>Aufnahmebogen!K204</f>
        <v>0</v>
      </c>
      <c r="BK2">
        <f>Aufnahmebogen!M204</f>
        <v>0</v>
      </c>
      <c r="BL2">
        <f>Aufnahmebogen!E222</f>
        <v>0</v>
      </c>
      <c r="BM2">
        <f>Aufnahmebogen!G222</f>
        <v>0</v>
      </c>
      <c r="BN2">
        <f>Aufnahmebogen!I222</f>
        <v>0</v>
      </c>
      <c r="BO2">
        <f>Aufnahmebogen!K222</f>
        <v>0</v>
      </c>
      <c r="BP2">
        <f>Aufnahmebogen!M222</f>
        <v>0</v>
      </c>
      <c r="BQ2">
        <f>Aufnahmebogen!E240</f>
        <v>0</v>
      </c>
      <c r="BR2">
        <f>Aufnahmebogen!G240</f>
        <v>0</v>
      </c>
      <c r="BS2">
        <f>Aufnahmebogen!I240</f>
        <v>0</v>
      </c>
      <c r="BT2">
        <f>Aufnahmebogen!K240</f>
        <v>0</v>
      </c>
      <c r="BU2">
        <f>Aufnahmebogen!M240</f>
        <v>0</v>
      </c>
      <c r="BV2">
        <f>Aufnahmebogen!E258</f>
        <v>0</v>
      </c>
      <c r="BW2">
        <f>Aufnahmebogen!G258</f>
        <v>0</v>
      </c>
      <c r="BX2">
        <f>Aufnahmebogen!I258</f>
        <v>0</v>
      </c>
      <c r="BY2">
        <f>Aufnahmebogen!K258</f>
        <v>0</v>
      </c>
      <c r="BZ2">
        <f>Aufnahmebogen!M258</f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Aufnahmebogen</vt:lpstr>
      <vt:lpstr>Auswahlmöglichkeiten</vt:lpstr>
      <vt:lpstr>Auswertung</vt:lpstr>
      <vt:lpstr>Anmerkungen</vt:lpstr>
      <vt:lpstr>Aufnahmebogen!Druckbereich</vt:lpstr>
      <vt:lpstr>Auswahlmöglichkeiten!Druckbereich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 Baerschneider</dc:creator>
  <cp:lastModifiedBy>Hannes</cp:lastModifiedBy>
  <cp:lastPrinted>2017-02-23T09:44:46Z</cp:lastPrinted>
  <dcterms:created xsi:type="dcterms:W3CDTF">2016-07-04T12:13:30Z</dcterms:created>
  <dcterms:modified xsi:type="dcterms:W3CDTF">2017-09-01T10:05:37Z</dcterms:modified>
</cp:coreProperties>
</file>